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dosophia-my.sharepoint.com/personal/hpr_hedosophia_com/Documents/Documents/Axle/"/>
    </mc:Choice>
  </mc:AlternateContent>
  <xr:revisionPtr revIDLastSave="0" documentId="8_{95739A0F-5C80-435B-BF0C-E00ED5515BCE}" xr6:coauthVersionLast="47" xr6:coauthVersionMax="47" xr10:uidLastSave="{00000000-0000-0000-0000-000000000000}"/>
  <bookViews>
    <workbookView xWindow="43080" yWindow="-120" windowWidth="38640" windowHeight="21120" xr2:uid="{53B8AFE2-0380-48C4-ABC6-E24052ED1431}"/>
  </bookViews>
  <sheets>
    <sheet name="24-26, 20-6" sheetId="1" r:id="rId1"/>
    <sheet name="24-26, 19-6" sheetId="2" r:id="rId2"/>
    <sheet name="24-26, 18-6" sheetId="3" r:id="rId3"/>
  </sheets>
  <definedNames>
    <definedName name="_xlnm._FilterDatabase" localSheetId="2" hidden="1">'24-26, 18-6'!$A$1:$P$1</definedName>
    <definedName name="_xlnm._FilterDatabase" localSheetId="1" hidden="1">'24-26, 19-6'!$A$1:$P$1</definedName>
    <definedName name="_xlnm._FilterDatabase" localSheetId="0" hidden="1">'24-26, 20-6'!$A$1:$P$1</definedName>
  </definedNames>
  <calcPr calcId="0"/>
</workbook>
</file>

<file path=xl/calcChain.xml><?xml version="1.0" encoding="utf-8"?>
<calcChain xmlns="http://schemas.openxmlformats.org/spreadsheetml/2006/main">
  <c r="E19" i="1" l="1"/>
  <c r="D60" i="1"/>
  <c r="C60" i="1"/>
  <c r="B60" i="1"/>
  <c r="D59" i="1"/>
  <c r="C59" i="1"/>
  <c r="B59" i="1"/>
  <c r="D58" i="1"/>
  <c r="C58" i="1"/>
  <c r="B58" i="1"/>
  <c r="D57" i="1"/>
  <c r="C57" i="1"/>
  <c r="B57" i="1"/>
  <c r="B40" i="2"/>
  <c r="C40" i="2"/>
  <c r="D40" i="2"/>
  <c r="E40" i="2"/>
  <c r="B41" i="2"/>
  <c r="C41" i="2"/>
  <c r="D41" i="2"/>
  <c r="E41" i="2"/>
  <c r="B42" i="2"/>
  <c r="C42" i="2"/>
  <c r="D42" i="2"/>
  <c r="E42" i="2"/>
  <c r="B40" i="3"/>
  <c r="C40" i="3"/>
  <c r="D40" i="3"/>
  <c r="E40" i="3"/>
  <c r="B41" i="3"/>
  <c r="C41" i="3"/>
  <c r="D41" i="3"/>
  <c r="E41" i="3"/>
  <c r="B42" i="3"/>
  <c r="C42" i="3"/>
  <c r="D42" i="3"/>
  <c r="E42" i="3"/>
  <c r="B40" i="1"/>
  <c r="C40" i="1"/>
  <c r="D40" i="1"/>
  <c r="E40" i="1"/>
  <c r="B41" i="1"/>
  <c r="C41" i="1"/>
  <c r="D41" i="1"/>
  <c r="E41" i="1"/>
  <c r="B42" i="1"/>
  <c r="C42" i="1"/>
  <c r="D42" i="1"/>
  <c r="E42" i="1"/>
  <c r="C39" i="2"/>
  <c r="D39" i="2"/>
  <c r="E39" i="2"/>
  <c r="C39" i="3"/>
  <c r="D39" i="3"/>
  <c r="E39" i="3"/>
  <c r="C39" i="1"/>
  <c r="D39" i="1"/>
  <c r="E39" i="1"/>
  <c r="B39" i="2"/>
  <c r="B39" i="3"/>
  <c r="B39" i="1"/>
  <c r="B34" i="2"/>
  <c r="C34" i="2"/>
  <c r="D34" i="2"/>
  <c r="E34" i="2"/>
  <c r="B35" i="2"/>
  <c r="C35" i="2"/>
  <c r="D35" i="2"/>
  <c r="E35" i="2"/>
  <c r="B36" i="2"/>
  <c r="C36" i="2"/>
  <c r="D36" i="2"/>
  <c r="E36" i="2"/>
  <c r="B34" i="3"/>
  <c r="C34" i="3"/>
  <c r="D34" i="3"/>
  <c r="E34" i="3"/>
  <c r="B35" i="3"/>
  <c r="C35" i="3"/>
  <c r="D35" i="3"/>
  <c r="E35" i="3"/>
  <c r="B36" i="3"/>
  <c r="C36" i="3"/>
  <c r="D36" i="3"/>
  <c r="E36" i="3"/>
  <c r="B34" i="1"/>
  <c r="C34" i="1"/>
  <c r="D34" i="1"/>
  <c r="E34" i="1"/>
  <c r="B35" i="1"/>
  <c r="C35" i="1"/>
  <c r="D35" i="1"/>
  <c r="E35" i="1"/>
  <c r="B36" i="1"/>
  <c r="C36" i="1"/>
  <c r="D36" i="1"/>
  <c r="E36" i="1"/>
  <c r="E33" i="2"/>
  <c r="E33" i="3"/>
  <c r="E33" i="1"/>
  <c r="D33" i="2"/>
  <c r="D33" i="3"/>
  <c r="D33" i="1"/>
  <c r="C33" i="2"/>
  <c r="C33" i="3"/>
  <c r="C33" i="1"/>
  <c r="B33" i="2"/>
  <c r="B33" i="3"/>
  <c r="B33" i="1"/>
  <c r="G41" i="1"/>
  <c r="G42" i="1" s="1"/>
  <c r="D22" i="3"/>
  <c r="D28" i="3" s="1"/>
  <c r="C22" i="3"/>
  <c r="C21" i="3"/>
  <c r="C27" i="3" s="1"/>
  <c r="G17" i="3"/>
  <c r="E24" i="3" s="1"/>
  <c r="G16" i="3"/>
  <c r="E23" i="3" s="1"/>
  <c r="G15" i="3"/>
  <c r="E22" i="3" s="1"/>
  <c r="G14" i="3"/>
  <c r="E21" i="3" s="1"/>
  <c r="E27" i="3" s="1"/>
  <c r="G13" i="3"/>
  <c r="D24" i="3" s="1"/>
  <c r="D30" i="3" s="1"/>
  <c r="G12" i="3"/>
  <c r="D23" i="3" s="1"/>
  <c r="D29" i="3" s="1"/>
  <c r="G11" i="3"/>
  <c r="G10" i="3"/>
  <c r="D21" i="3" s="1"/>
  <c r="D27" i="3" s="1"/>
  <c r="G9" i="3"/>
  <c r="C24" i="3" s="1"/>
  <c r="G8" i="3"/>
  <c r="C23" i="3" s="1"/>
  <c r="G7" i="3"/>
  <c r="G6" i="3"/>
  <c r="G5" i="3"/>
  <c r="B24" i="3" s="1"/>
  <c r="G4" i="3"/>
  <c r="B23" i="3" s="1"/>
  <c r="G3" i="3"/>
  <c r="B22" i="3" s="1"/>
  <c r="G2" i="3"/>
  <c r="B21" i="3" s="1"/>
  <c r="B27" i="3" s="1"/>
  <c r="G17" i="2"/>
  <c r="G16" i="2"/>
  <c r="E23" i="2" s="1"/>
  <c r="G15" i="2"/>
  <c r="G14" i="2"/>
  <c r="G13" i="2"/>
  <c r="G12" i="2"/>
  <c r="D23" i="2" s="1"/>
  <c r="G11" i="2"/>
  <c r="G10" i="2"/>
  <c r="G9" i="2"/>
  <c r="C24" i="2" s="1"/>
  <c r="G8" i="2"/>
  <c r="C23" i="2" s="1"/>
  <c r="G7" i="2"/>
  <c r="C22" i="2" s="1"/>
  <c r="G6" i="2"/>
  <c r="C21" i="2" s="1"/>
  <c r="C27" i="2" s="1"/>
  <c r="G5" i="2"/>
  <c r="B24" i="2" s="1"/>
  <c r="G4" i="2"/>
  <c r="B23" i="2" s="1"/>
  <c r="G3" i="2"/>
  <c r="G2" i="2"/>
  <c r="E24" i="2"/>
  <c r="D22" i="2"/>
  <c r="B22" i="2"/>
  <c r="B21" i="2"/>
  <c r="B27" i="2" s="1"/>
  <c r="E22" i="2"/>
  <c r="E21" i="2"/>
  <c r="D24" i="2"/>
  <c r="D21" i="2"/>
  <c r="D27" i="2" s="1"/>
  <c r="E28" i="1"/>
  <c r="B29" i="1"/>
  <c r="E29" i="1"/>
  <c r="B30" i="1"/>
  <c r="C30" i="1"/>
  <c r="D30" i="1"/>
  <c r="E30" i="1"/>
  <c r="C27" i="1"/>
  <c r="D27" i="1"/>
  <c r="B22" i="1"/>
  <c r="C22" i="1"/>
  <c r="C28" i="1" s="1"/>
  <c r="D22" i="1"/>
  <c r="D28" i="1" s="1"/>
  <c r="E22" i="1"/>
  <c r="B23" i="1"/>
  <c r="C23" i="1"/>
  <c r="C29" i="1" s="1"/>
  <c r="D23" i="1"/>
  <c r="D29" i="1" s="1"/>
  <c r="E23" i="1"/>
  <c r="B24" i="1"/>
  <c r="C24" i="1"/>
  <c r="D24" i="1"/>
  <c r="E24" i="1"/>
  <c r="E21" i="1"/>
  <c r="E27" i="1" s="1"/>
  <c r="D21" i="1"/>
  <c r="C21" i="1"/>
  <c r="B21" i="1"/>
  <c r="B28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B27" i="1" l="1"/>
  <c r="B52" i="1"/>
  <c r="C52" i="1"/>
  <c r="D52" i="1"/>
  <c r="C47" i="1"/>
  <c r="B53" i="1"/>
  <c r="D47" i="1"/>
  <c r="C53" i="1"/>
  <c r="B48" i="1"/>
  <c r="D53" i="1"/>
  <c r="C48" i="1"/>
  <c r="B54" i="1"/>
  <c r="D48" i="1"/>
  <c r="C54" i="1"/>
  <c r="D45" i="1"/>
  <c r="D54" i="1"/>
  <c r="C45" i="1"/>
  <c r="D51" i="1"/>
  <c r="B45" i="1"/>
  <c r="C51" i="1"/>
  <c r="B51" i="1"/>
  <c r="B46" i="1"/>
  <c r="C46" i="1"/>
  <c r="B47" i="1"/>
  <c r="C28" i="3"/>
  <c r="C29" i="3"/>
  <c r="C30" i="3"/>
  <c r="E29" i="3"/>
  <c r="E30" i="3"/>
  <c r="B28" i="3"/>
  <c r="E28" i="3"/>
  <c r="D46" i="1" s="1"/>
  <c r="B29" i="3"/>
  <c r="B30" i="3"/>
  <c r="C30" i="2"/>
  <c r="D30" i="2"/>
  <c r="B28" i="2"/>
  <c r="D28" i="2"/>
  <c r="C29" i="2"/>
  <c r="D29" i="2"/>
  <c r="B29" i="2"/>
  <c r="B30" i="2"/>
  <c r="C28" i="2"/>
  <c r="E27" i="2"/>
  <c r="E30" i="2"/>
  <c r="E28" i="2"/>
  <c r="E29" i="2"/>
</calcChain>
</file>

<file path=xl/sharedStrings.xml><?xml version="1.0" encoding="utf-8"?>
<sst xmlns="http://schemas.openxmlformats.org/spreadsheetml/2006/main" count="250" uniqueCount="46">
  <si>
    <t>year</t>
  </si>
  <si>
    <t>case</t>
  </si>
  <si>
    <t>scenario</t>
  </si>
  <si>
    <t>import_cost_gbp</t>
  </si>
  <si>
    <t>export_revenue_gbp</t>
  </si>
  <si>
    <t>degradation_cost_gbp</t>
  </si>
  <si>
    <t>total_cost_gbp</t>
  </si>
  <si>
    <t>total_cost_gbp_per_battery_kwh</t>
  </si>
  <si>
    <t>saving_vs_immediate_gbp</t>
  </si>
  <si>
    <t>saving_vs_immediate_pct</t>
  </si>
  <si>
    <t>charging_start_hour</t>
  </si>
  <si>
    <t>charging_end_hour</t>
  </si>
  <si>
    <t>include_degradation</t>
  </si>
  <si>
    <t>trading_risk_multiplier</t>
  </si>
  <si>
    <t>degradation_threshold_gbp_per_mwh</t>
  </si>
  <si>
    <t>all</t>
  </si>
  <si>
    <t>immediate</t>
  </si>
  <si>
    <t>smart</t>
  </si>
  <si>
    <t>trading</t>
  </si>
  <si>
    <t>profit_aware_trader</t>
  </si>
  <si>
    <t>trading_boosted</t>
  </si>
  <si>
    <t>Total</t>
  </si>
  <si>
    <t>Total - 18.00-6.00</t>
  </si>
  <si>
    <t>Total - 19.00-6.00</t>
  </si>
  <si>
    <t>Total - 20.00-6.00</t>
  </si>
  <si>
    <t>Years</t>
  </si>
  <si>
    <t>Date start</t>
  </si>
  <si>
    <t>Date end</t>
  </si>
  <si>
    <t>Days</t>
  </si>
  <si>
    <t>Import cost (£)</t>
  </si>
  <si>
    <t>Export Revenue (£)</t>
  </si>
  <si>
    <t>Degradation cost (£)</t>
  </si>
  <si>
    <t>Net cost (excl. Deg., £)</t>
  </si>
  <si>
    <t>Net cost (incl. deg., £)</t>
  </si>
  <si>
    <t>Total cost per kWh</t>
  </si>
  <si>
    <t>Savings vs Immediate charging (£)</t>
  </si>
  <si>
    <t>Savings vs Immediate charging (%)</t>
  </si>
  <si>
    <t>Charging start hour</t>
  </si>
  <si>
    <t>Charging End hour</t>
  </si>
  <si>
    <t>Trading Risk multiplier</t>
  </si>
  <si>
    <t>Trading spread threshold (£/MWh)</t>
  </si>
  <si>
    <t>Year</t>
  </si>
  <si>
    <t>No degradation</t>
  </si>
  <si>
    <t>Degradation</t>
  </si>
  <si>
    <t>trading boosted</t>
  </si>
  <si>
    <t>Total 24-26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</si>
</sst>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71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left"/>
    </xf>
    <xf numFmtId="168" fontId="0" fillId="0" borderId="0" xfId="0" applyNumberFormat="1"/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2" fontId="18" fillId="0" borderId="0" xfId="0" applyNumberFormat="1" applyFont="1" applyAlignment="1">
      <alignment horizontal="left"/>
    </xf>
    <xf numFmtId="171" fontId="0" fillId="0" borderId="0" xfId="1" applyNumberFormat="1" applyFont="1"/>
    <xf numFmtId="0" fontId="16" fillId="33" borderId="0" xfId="0" applyFont="1" applyFill="1" applyAlignment="1">
      <alignment horizontal="left"/>
    </xf>
    <xf numFmtId="0" fontId="16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20-6'!$A$27</c:f>
              <c:strCache>
                <c:ptCount val="1"/>
                <c:pt idx="0">
                  <c:v>immediate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'24-26, 20-6'!$B$26:$E$26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20-6'!$B$27:$E$27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7-4F42-99DA-0DB32C3F0E4D}"/>
            </c:ext>
          </c:extLst>
        </c:ser>
        <c:ser>
          <c:idx val="1"/>
          <c:order val="1"/>
          <c:tx>
            <c:strRef>
              <c:f>'24-26, 20-6'!$A$28</c:f>
              <c:strCache>
                <c:ptCount val="1"/>
                <c:pt idx="0">
                  <c:v>smart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'24-26, 20-6'!$B$26:$E$26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20-6'!$B$28:$E$28</c:f>
              <c:numCache>
                <c:formatCode>0.0</c:formatCode>
                <c:ptCount val="4"/>
                <c:pt idx="0">
                  <c:v>95.994156958903005</c:v>
                </c:pt>
                <c:pt idx="1">
                  <c:v>92.924382479452021</c:v>
                </c:pt>
                <c:pt idx="2">
                  <c:v>47.660680767122997</c:v>
                </c:pt>
                <c:pt idx="3">
                  <c:v>236.57922020547903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7-4F42-99DA-0DB32C3F0E4D}"/>
            </c:ext>
          </c:extLst>
        </c:ser>
        <c:ser>
          <c:idx val="2"/>
          <c:order val="2"/>
          <c:tx>
            <c:strRef>
              <c:f>'24-26, 20-6'!$A$29</c:f>
              <c:strCache>
                <c:ptCount val="1"/>
                <c:pt idx="0">
                  <c:v>trading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'24-26, 20-6'!$B$26:$E$26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20-6'!$B$29:$E$29</c:f>
              <c:numCache>
                <c:formatCode>0.0</c:formatCode>
                <c:ptCount val="4"/>
                <c:pt idx="0">
                  <c:v>140.73043738356108</c:v>
                </c:pt>
                <c:pt idx="1">
                  <c:v>139.62792354794453</c:v>
                </c:pt>
                <c:pt idx="2">
                  <c:v>68.505584589040495</c:v>
                </c:pt>
                <c:pt idx="3">
                  <c:v>348.86394552054605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97-4F42-99DA-0DB32C3F0E4D}"/>
            </c:ext>
          </c:extLst>
        </c:ser>
        <c:ser>
          <c:idx val="3"/>
          <c:order val="3"/>
          <c:tx>
            <c:strRef>
              <c:f>'24-26, 20-6'!$A$30</c:f>
              <c:strCache>
                <c:ptCount val="1"/>
                <c:pt idx="0">
                  <c:v>trading boosted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'24-26, 20-6'!$B$26:$E$26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20-6'!$B$30:$E$30</c:f>
              <c:numCache>
                <c:formatCode>0.0</c:formatCode>
                <c:ptCount val="4"/>
                <c:pt idx="0">
                  <c:v>202.30222164774798</c:v>
                </c:pt>
                <c:pt idx="1">
                  <c:v>195.26793469862901</c:v>
                </c:pt>
                <c:pt idx="2">
                  <c:v>100.00199213698599</c:v>
                </c:pt>
                <c:pt idx="3">
                  <c:v>497.57214848336514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97-4F42-99DA-0DB32C3F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337999"/>
        <c:axId val="1279335119"/>
      </c:barChart>
      <c:catAx>
        <c:axId val="12793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5119"/>
        <c:crosses val="autoZero"/>
        <c:auto val="1"/>
        <c:lblAlgn val="ctr"/>
        <c:lblOffset val="100"/>
        <c:noMultiLvlLbl val="0"/>
      </c:catAx>
      <c:valAx>
        <c:axId val="12793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of EV charging (£), Scenarios 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20-6'!$A$21</c:f>
              <c:strCache>
                <c:ptCount val="1"/>
                <c:pt idx="0">
                  <c:v>immediate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'24-26, 20-6'!$B$20:$E$20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 24-26</c:v>
                </c:pt>
              </c:strCache>
            </c:strRef>
          </c:cat>
          <c:val>
            <c:numRef>
              <c:f>'24-26, 20-6'!$B$21:$E$21</c:f>
              <c:numCache>
                <c:formatCode>0</c:formatCode>
                <c:ptCount val="4"/>
                <c:pt idx="0">
                  <c:v>241.252771481407</c:v>
                </c:pt>
                <c:pt idx="1">
                  <c:v>272.81659009588901</c:v>
                </c:pt>
                <c:pt idx="2">
                  <c:v>160.95321995890299</c:v>
                </c:pt>
                <c:pt idx="3">
                  <c:v>675.02258153620005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4D83-AE9C-E4B67965539E}"/>
            </c:ext>
          </c:extLst>
        </c:ser>
        <c:ser>
          <c:idx val="1"/>
          <c:order val="1"/>
          <c:tx>
            <c:strRef>
              <c:f>'24-26, 20-6'!$A$22</c:f>
              <c:strCache>
                <c:ptCount val="1"/>
                <c:pt idx="0">
                  <c:v>smart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'24-26, 20-6'!$B$20:$E$20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 24-26</c:v>
                </c:pt>
              </c:strCache>
            </c:strRef>
          </c:cat>
          <c:val>
            <c:numRef>
              <c:f>'24-26, 20-6'!$B$22:$E$22</c:f>
              <c:numCache>
                <c:formatCode>0</c:formatCode>
                <c:ptCount val="4"/>
                <c:pt idx="0">
                  <c:v>145.25861452250399</c:v>
                </c:pt>
                <c:pt idx="1">
                  <c:v>179.89220761643699</c:v>
                </c:pt>
                <c:pt idx="2">
                  <c:v>113.29253919177999</c:v>
                </c:pt>
                <c:pt idx="3">
                  <c:v>438.44336133072102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B-4D83-AE9C-E4B67965539E}"/>
            </c:ext>
          </c:extLst>
        </c:ser>
        <c:ser>
          <c:idx val="2"/>
          <c:order val="2"/>
          <c:tx>
            <c:strRef>
              <c:f>'24-26, 20-6'!$A$23</c:f>
              <c:strCache>
                <c:ptCount val="1"/>
                <c:pt idx="0">
                  <c:v>trading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'24-26, 20-6'!$B$20:$E$20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 24-26</c:v>
                </c:pt>
              </c:strCache>
            </c:strRef>
          </c:cat>
          <c:val>
            <c:numRef>
              <c:f>'24-26, 20-6'!$B$23:$E$23</c:f>
              <c:numCache>
                <c:formatCode>0</c:formatCode>
                <c:ptCount val="4"/>
                <c:pt idx="0">
                  <c:v>100.5223340978459</c:v>
                </c:pt>
                <c:pt idx="1">
                  <c:v>133.18866654794448</c:v>
                </c:pt>
                <c:pt idx="2">
                  <c:v>92.447635369862496</c:v>
                </c:pt>
                <c:pt idx="3">
                  <c:v>326.158636015654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B-4D83-AE9C-E4B67965539E}"/>
            </c:ext>
          </c:extLst>
        </c:ser>
        <c:ser>
          <c:idx val="3"/>
          <c:order val="3"/>
          <c:tx>
            <c:strRef>
              <c:f>'24-26, 20-6'!$A$24</c:f>
              <c:strCache>
                <c:ptCount val="1"/>
                <c:pt idx="0">
                  <c:v>trading boosted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'24-26, 20-6'!$B$20:$E$20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 24-26</c:v>
                </c:pt>
              </c:strCache>
            </c:strRef>
          </c:cat>
          <c:val>
            <c:numRef>
              <c:f>'24-26, 20-6'!$B$24:$E$24</c:f>
              <c:numCache>
                <c:formatCode>0</c:formatCode>
                <c:ptCount val="4"/>
                <c:pt idx="0">
                  <c:v>38.950549833659011</c:v>
                </c:pt>
                <c:pt idx="1">
                  <c:v>77.548655397260006</c:v>
                </c:pt>
                <c:pt idx="2">
                  <c:v>60.951227821917001</c:v>
                </c:pt>
                <c:pt idx="3">
                  <c:v>177.45043305283491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B-4D83-AE9C-E4B6796553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9337999"/>
        <c:axId val="1279335119"/>
      </c:barChart>
      <c:catAx>
        <c:axId val="12793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5119"/>
        <c:crosses val="autoZero"/>
        <c:auto val="1"/>
        <c:lblAlgn val="ctr"/>
        <c:lblOffset val="100"/>
        <c:noMultiLvlLbl val="0"/>
      </c:catAx>
      <c:valAx>
        <c:axId val="1279335119"/>
        <c:scaling>
          <c:orientation val="minMax"/>
          <c:max val="70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Savings vs Immediate Charging (excl. battery</a:t>
            </a:r>
            <a:r>
              <a:rPr lang="en-GB" baseline="0"/>
              <a:t> 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20-6'!$B$44</c:f>
              <c:strCache>
                <c:ptCount val="1"/>
                <c:pt idx="0">
                  <c:v>Total - 20.00-6.00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'24-26, 20-6'!$A$46:$A$48</c:f>
              <c:strCache>
                <c:ptCount val="3"/>
                <c:pt idx="0">
                  <c:v>smart</c:v>
                </c:pt>
                <c:pt idx="1">
                  <c:v>trading</c:v>
                </c:pt>
                <c:pt idx="2">
                  <c:v>trading_boosted</c:v>
                </c:pt>
              </c:strCache>
            </c:strRef>
          </c:cat>
          <c:val>
            <c:numRef>
              <c:f>'24-26, 20-6'!$B$46:$B$48</c:f>
              <c:numCache>
                <c:formatCode>0</c:formatCode>
                <c:ptCount val="3"/>
                <c:pt idx="0">
                  <c:v>94.891665247252575</c:v>
                </c:pt>
                <c:pt idx="1">
                  <c:v>139.92894518131791</c:v>
                </c:pt>
                <c:pt idx="2">
                  <c:v>199.57564197409698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E-4796-B7D1-2F4F80FC7D59}"/>
            </c:ext>
          </c:extLst>
        </c:ser>
        <c:ser>
          <c:idx val="1"/>
          <c:order val="1"/>
          <c:tx>
            <c:strRef>
              <c:f>'24-26, 20-6'!$C$44</c:f>
              <c:strCache>
                <c:ptCount val="1"/>
                <c:pt idx="0">
                  <c:v>Total - 19.00-6.00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'24-26, 20-6'!$A$46:$A$48</c:f>
              <c:strCache>
                <c:ptCount val="3"/>
                <c:pt idx="0">
                  <c:v>smart</c:v>
                </c:pt>
                <c:pt idx="1">
                  <c:v>trading</c:v>
                </c:pt>
                <c:pt idx="2">
                  <c:v>trading_boosted</c:v>
                </c:pt>
              </c:strCache>
            </c:strRef>
          </c:cat>
          <c:val>
            <c:numRef>
              <c:f>'24-26, 20-6'!$C$46:$C$48</c:f>
              <c:numCache>
                <c:formatCode>0</c:formatCode>
                <c:ptCount val="3"/>
                <c:pt idx="0">
                  <c:v>117.51374647886632</c:v>
                </c:pt>
                <c:pt idx="1">
                  <c:v>192.38098360693022</c:v>
                </c:pt>
                <c:pt idx="2">
                  <c:v>276.80367749577289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E-4796-B7D1-2F4F80FC7D59}"/>
            </c:ext>
          </c:extLst>
        </c:ser>
        <c:ser>
          <c:idx val="2"/>
          <c:order val="2"/>
          <c:tx>
            <c:strRef>
              <c:f>'24-26, 20-6'!$D$44</c:f>
              <c:strCache>
                <c:ptCount val="1"/>
                <c:pt idx="0">
                  <c:v>Total - 18.00-6.00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'24-26, 20-6'!$A$46:$A$48</c:f>
              <c:strCache>
                <c:ptCount val="3"/>
                <c:pt idx="0">
                  <c:v>smart</c:v>
                </c:pt>
                <c:pt idx="1">
                  <c:v>trading</c:v>
                </c:pt>
                <c:pt idx="2">
                  <c:v>trading_boosted</c:v>
                </c:pt>
              </c:strCache>
            </c:strRef>
          </c:cat>
          <c:val>
            <c:numRef>
              <c:f>'24-26, 20-6'!$D$46:$D$48</c:f>
              <c:numCache>
                <c:formatCode>0</c:formatCode>
                <c:ptCount val="3"/>
                <c:pt idx="0">
                  <c:v>140.25167609340559</c:v>
                </c:pt>
                <c:pt idx="1">
                  <c:v>257.53035603846024</c:v>
                </c:pt>
                <c:pt idx="2">
                  <c:v>367.27316244505039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E-4796-B7D1-2F4F80FC7D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8006383"/>
        <c:axId val="2008020303"/>
      </c:barChart>
      <c:catAx>
        <c:axId val="200800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20303"/>
        <c:crosses val="autoZero"/>
        <c:auto val="1"/>
        <c:lblAlgn val="ctr"/>
        <c:lblOffset val="100"/>
        <c:noMultiLvlLbl val="0"/>
      </c:catAx>
      <c:valAx>
        <c:axId val="200802030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0800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Savings vs Immediate Charging (incl. battery 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20-6'!$B$44</c:f>
              <c:strCache>
                <c:ptCount val="1"/>
                <c:pt idx="0">
                  <c:v>Total - 20.00-6.00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'24-26, 20-6'!$A$58:$A$60</c:f>
              <c:strCache>
                <c:ptCount val="3"/>
                <c:pt idx="0">
                  <c:v>smart</c:v>
                </c:pt>
                <c:pt idx="1">
                  <c:v>trading</c:v>
                </c:pt>
                <c:pt idx="2">
                  <c:v>trading_boosted</c:v>
                </c:pt>
              </c:strCache>
            </c:strRef>
          </c:cat>
          <c:val>
            <c:numRef>
              <c:f>'24-26, 20-6'!$B$58:$B$60</c:f>
              <c:numCache>
                <c:formatCode>0.0</c:formatCode>
                <c:ptCount val="3"/>
                <c:pt idx="0">
                  <c:v>94.891665247250202</c:v>
                </c:pt>
                <c:pt idx="1">
                  <c:v>107.45594282652758</c:v>
                </c:pt>
                <c:pt idx="2">
                  <c:v>81.170194564360912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6-4404-97AE-4FD7008AEC93}"/>
            </c:ext>
          </c:extLst>
        </c:ser>
        <c:ser>
          <c:idx val="1"/>
          <c:order val="1"/>
          <c:tx>
            <c:strRef>
              <c:f>'24-26, 20-6'!$C$44</c:f>
              <c:strCache>
                <c:ptCount val="1"/>
                <c:pt idx="0">
                  <c:v>Total - 19.00-6.00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'24-26, 20-6'!$A$58:$A$60</c:f>
              <c:strCache>
                <c:ptCount val="3"/>
                <c:pt idx="0">
                  <c:v>smart</c:v>
                </c:pt>
                <c:pt idx="1">
                  <c:v>trading</c:v>
                </c:pt>
                <c:pt idx="2">
                  <c:v>trading_boosted</c:v>
                </c:pt>
              </c:strCache>
            </c:strRef>
          </c:cat>
          <c:val>
            <c:numRef>
              <c:f>'24-26, 20-6'!$C$58:$C$60</c:f>
              <c:numCache>
                <c:formatCode>0.0</c:formatCode>
                <c:ptCount val="3"/>
                <c:pt idx="0">
                  <c:v>117.51374647886504</c:v>
                </c:pt>
                <c:pt idx="1">
                  <c:v>140.39928665003987</c:v>
                </c:pt>
                <c:pt idx="2">
                  <c:v>102.01815551774897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6-4404-97AE-4FD7008AEC93}"/>
            </c:ext>
          </c:extLst>
        </c:ser>
        <c:ser>
          <c:idx val="2"/>
          <c:order val="2"/>
          <c:tx>
            <c:strRef>
              <c:f>'24-26, 20-6'!$D$44</c:f>
              <c:strCache>
                <c:ptCount val="1"/>
                <c:pt idx="0">
                  <c:v>Total - 18.00-6.00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'24-26, 20-6'!$A$58:$A$60</c:f>
              <c:strCache>
                <c:ptCount val="3"/>
                <c:pt idx="0">
                  <c:v>smart</c:v>
                </c:pt>
                <c:pt idx="1">
                  <c:v>trading</c:v>
                </c:pt>
                <c:pt idx="2">
                  <c:v>trading_boosted</c:v>
                </c:pt>
              </c:strCache>
            </c:strRef>
          </c:cat>
          <c:val>
            <c:numRef>
              <c:f>'24-26, 20-6'!$D$58:$D$60</c:f>
              <c:numCache>
                <c:formatCode>0.0</c:formatCode>
                <c:ptCount val="3"/>
                <c:pt idx="0">
                  <c:v>140.25167609340556</c:v>
                </c:pt>
                <c:pt idx="1">
                  <c:v>179.75348790659231</c:v>
                </c:pt>
                <c:pt idx="2">
                  <c:v>128.60838222527363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6-4404-97AE-4FD7008AE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006383"/>
        <c:axId val="2008020303"/>
      </c:barChart>
      <c:catAx>
        <c:axId val="200800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20303"/>
        <c:crosses val="autoZero"/>
        <c:auto val="1"/>
        <c:lblAlgn val="ctr"/>
        <c:lblOffset val="100"/>
        <c:noMultiLvlLbl val="0"/>
      </c:catAx>
      <c:valAx>
        <c:axId val="20080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0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19-6'!$A$27</c:f>
              <c:strCache>
                <c:ptCount val="1"/>
                <c:pt idx="0">
                  <c:v>immediate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'24-26, 19-6'!$B$26:$E$26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19-6'!$B$27:$E$27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C-47FA-B959-6DCDD32C565F}"/>
            </c:ext>
          </c:extLst>
        </c:ser>
        <c:ser>
          <c:idx val="1"/>
          <c:order val="1"/>
          <c:tx>
            <c:strRef>
              <c:f>'24-26, 19-6'!$A$28</c:f>
              <c:strCache>
                <c:ptCount val="1"/>
                <c:pt idx="0">
                  <c:v>smart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'24-26, 19-6'!$B$26:$E$26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19-6'!$B$28:$E$28</c:f>
              <c:numCache>
                <c:formatCode>0.0</c:formatCode>
                <c:ptCount val="4"/>
                <c:pt idx="0">
                  <c:v>115.13841060484597</c:v>
                </c:pt>
                <c:pt idx="1">
                  <c:v>118.38178289041002</c:v>
                </c:pt>
                <c:pt idx="2">
                  <c:v>59.459284027397004</c:v>
                </c:pt>
                <c:pt idx="3">
                  <c:v>292.97947752265304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C-47FA-B959-6DCDD32C565F}"/>
            </c:ext>
          </c:extLst>
        </c:ser>
        <c:ser>
          <c:idx val="2"/>
          <c:order val="2"/>
          <c:tx>
            <c:strRef>
              <c:f>'24-26, 19-6'!$A$29</c:f>
              <c:strCache>
                <c:ptCount val="1"/>
                <c:pt idx="0">
                  <c:v>trading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'24-26, 19-6'!$B$26:$E$26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19-6'!$B$29:$E$29</c:f>
              <c:numCache>
                <c:formatCode>0.0</c:formatCode>
                <c:ptCount val="4"/>
                <c:pt idx="0">
                  <c:v>188.18579323919806</c:v>
                </c:pt>
                <c:pt idx="1">
                  <c:v>196.22997690410801</c:v>
                </c:pt>
                <c:pt idx="2">
                  <c:v>95.219010904109012</c:v>
                </c:pt>
                <c:pt idx="3">
                  <c:v>479.63478104741512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C-47FA-B959-6DCDD32C565F}"/>
            </c:ext>
          </c:extLst>
        </c:ser>
        <c:ser>
          <c:idx val="3"/>
          <c:order val="3"/>
          <c:tx>
            <c:strRef>
              <c:f>'24-26, 19-6'!$A$30</c:f>
              <c:strCache>
                <c:ptCount val="1"/>
                <c:pt idx="0">
                  <c:v>trading_boosted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'24-26, 19-6'!$B$26:$E$26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19-6'!$B$30:$E$30</c:f>
              <c:numCache>
                <c:formatCode>0.0</c:formatCode>
                <c:ptCount val="4"/>
                <c:pt idx="0">
                  <c:v>273.55524449631099</c:v>
                </c:pt>
                <c:pt idx="1">
                  <c:v>276.70068887671101</c:v>
                </c:pt>
                <c:pt idx="2">
                  <c:v>139.85734476712301</c:v>
                </c:pt>
                <c:pt idx="3">
                  <c:v>690.11327814014612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CC-47FA-B959-6DCDD32C5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337999"/>
        <c:axId val="1279335119"/>
      </c:barChart>
      <c:catAx>
        <c:axId val="12793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5119"/>
        <c:crosses val="autoZero"/>
        <c:auto val="1"/>
        <c:lblAlgn val="ctr"/>
        <c:lblOffset val="100"/>
        <c:noMultiLvlLbl val="0"/>
      </c:catAx>
      <c:valAx>
        <c:axId val="12793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19-6'!$A$21</c:f>
              <c:strCache>
                <c:ptCount val="1"/>
                <c:pt idx="0">
                  <c:v>immediate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'24-26, 19-6'!$B$20:$E$20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19-6'!$B$21:$E$21</c:f>
              <c:numCache>
                <c:formatCode>0.0</c:formatCode>
                <c:ptCount val="4"/>
                <c:pt idx="0">
                  <c:v>260.39704183666697</c:v>
                </c:pt>
                <c:pt idx="1">
                  <c:v>298.17968136986002</c:v>
                </c:pt>
                <c:pt idx="2">
                  <c:v>172.74274089040901</c:v>
                </c:pt>
                <c:pt idx="3">
                  <c:v>731.31946409693705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5-4552-8B83-9C84DD937CA7}"/>
            </c:ext>
          </c:extLst>
        </c:ser>
        <c:ser>
          <c:idx val="1"/>
          <c:order val="1"/>
          <c:tx>
            <c:strRef>
              <c:f>'24-26, 19-6'!$A$22</c:f>
              <c:strCache>
                <c:ptCount val="1"/>
                <c:pt idx="0">
                  <c:v>smart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'24-26, 19-6'!$B$20:$E$20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19-6'!$B$22:$E$22</c:f>
              <c:numCache>
                <c:formatCode>0.0</c:formatCode>
                <c:ptCount val="4"/>
                <c:pt idx="0">
                  <c:v>145.258631231821</c:v>
                </c:pt>
                <c:pt idx="1">
                  <c:v>179.79789847945</c:v>
                </c:pt>
                <c:pt idx="2">
                  <c:v>113.28345686301201</c:v>
                </c:pt>
                <c:pt idx="3">
                  <c:v>438.33998657428401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5-4552-8B83-9C84DD937CA7}"/>
            </c:ext>
          </c:extLst>
        </c:ser>
        <c:ser>
          <c:idx val="2"/>
          <c:order val="2"/>
          <c:tx>
            <c:strRef>
              <c:f>'24-26, 19-6'!$A$23</c:f>
              <c:strCache>
                <c:ptCount val="1"/>
                <c:pt idx="0">
                  <c:v>trading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'24-26, 19-6'!$B$20:$E$20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19-6'!$B$23:$E$23</c:f>
              <c:numCache>
                <c:formatCode>0.0</c:formatCode>
                <c:ptCount val="4"/>
                <c:pt idx="0">
                  <c:v>72.211248597468895</c:v>
                </c:pt>
                <c:pt idx="1">
                  <c:v>101.94970446575199</c:v>
                </c:pt>
                <c:pt idx="2">
                  <c:v>77.523729986299998</c:v>
                </c:pt>
                <c:pt idx="3">
                  <c:v>251.68468304952196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C5-4552-8B83-9C84DD937CA7}"/>
            </c:ext>
          </c:extLst>
        </c:ser>
        <c:ser>
          <c:idx val="3"/>
          <c:order val="3"/>
          <c:tx>
            <c:strRef>
              <c:f>'24-26, 19-6'!$A$24</c:f>
              <c:strCache>
                <c:ptCount val="1"/>
                <c:pt idx="0">
                  <c:v>trading_boosted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'24-26, 19-6'!$B$20:$E$20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19-6'!$B$24:$E$24</c:f>
              <c:numCache>
                <c:formatCode>0.0</c:formatCode>
                <c:ptCount val="4"/>
                <c:pt idx="0">
                  <c:v>-13.158202659644019</c:v>
                </c:pt>
                <c:pt idx="1">
                  <c:v>21.478992493149008</c:v>
                </c:pt>
                <c:pt idx="2">
                  <c:v>32.885396123286</c:v>
                </c:pt>
                <c:pt idx="3">
                  <c:v>41.206185956790932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C5-4552-8B83-9C84DD937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337999"/>
        <c:axId val="1279335119"/>
      </c:barChart>
      <c:catAx>
        <c:axId val="12793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5119"/>
        <c:crosses val="autoZero"/>
        <c:auto val="1"/>
        <c:lblAlgn val="ctr"/>
        <c:lblOffset val="100"/>
        <c:noMultiLvlLbl val="0"/>
      </c:catAx>
      <c:valAx>
        <c:axId val="12793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18-6'!$A$27</c:f>
              <c:strCache>
                <c:ptCount val="1"/>
                <c:pt idx="0">
                  <c:v>immediate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'24-26, 18-6'!$B$26:$E$26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18-6'!$B$27:$E$27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1-4864-A410-B1E65C8F1608}"/>
            </c:ext>
          </c:extLst>
        </c:ser>
        <c:ser>
          <c:idx val="1"/>
          <c:order val="1"/>
          <c:tx>
            <c:strRef>
              <c:f>'24-26, 18-6'!$A$28</c:f>
              <c:strCache>
                <c:ptCount val="1"/>
                <c:pt idx="0">
                  <c:v>smart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'24-26, 18-6'!$B$26:$E$26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18-6'!$B$28:$E$28</c:f>
              <c:numCache>
                <c:formatCode>0.0</c:formatCode>
                <c:ptCount val="4"/>
                <c:pt idx="0">
                  <c:v>136.93253142465701</c:v>
                </c:pt>
                <c:pt idx="1">
                  <c:v>146.50433042465602</c:v>
                </c:pt>
                <c:pt idx="2">
                  <c:v>66.231700465753008</c:v>
                </c:pt>
                <c:pt idx="3">
                  <c:v>349.66856231506603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1-4864-A410-B1E65C8F1608}"/>
            </c:ext>
          </c:extLst>
        </c:ser>
        <c:ser>
          <c:idx val="2"/>
          <c:order val="2"/>
          <c:tx>
            <c:strRef>
              <c:f>'24-26, 18-6'!$A$29</c:f>
              <c:strCache>
                <c:ptCount val="1"/>
                <c:pt idx="0">
                  <c:v>trading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'24-26, 18-6'!$B$26:$E$26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18-6'!$B$29:$E$29</c:f>
              <c:numCache>
                <c:formatCode>0.0</c:formatCode>
                <c:ptCount val="4"/>
                <c:pt idx="0">
                  <c:v>248.95006034246401</c:v>
                </c:pt>
                <c:pt idx="1">
                  <c:v>273.07965380821702</c:v>
                </c:pt>
                <c:pt idx="2">
                  <c:v>120.03226939725971</c:v>
                </c:pt>
                <c:pt idx="3">
                  <c:v>642.06198354794196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1-4864-A410-B1E65C8F1608}"/>
            </c:ext>
          </c:extLst>
        </c:ser>
        <c:ser>
          <c:idx val="3"/>
          <c:order val="3"/>
          <c:tx>
            <c:strRef>
              <c:f>'24-26, 18-6'!$A$30</c:f>
              <c:strCache>
                <c:ptCount val="1"/>
                <c:pt idx="0">
                  <c:v>trading_boosted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'24-26, 18-6'!$B$26:$E$26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18-6'!$B$30:$E$30</c:f>
              <c:numCache>
                <c:formatCode>0.0</c:formatCode>
                <c:ptCount val="4"/>
                <c:pt idx="0">
                  <c:v>356.545789753424</c:v>
                </c:pt>
                <c:pt idx="1">
                  <c:v>381.01540080821803</c:v>
                </c:pt>
                <c:pt idx="2">
                  <c:v>178.10614594520499</c:v>
                </c:pt>
                <c:pt idx="3">
                  <c:v>915.66733650683807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B1-4864-A410-B1E65C8F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337999"/>
        <c:axId val="1279335119"/>
      </c:barChart>
      <c:catAx>
        <c:axId val="12793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5119"/>
        <c:crosses val="autoZero"/>
        <c:auto val="1"/>
        <c:lblAlgn val="ctr"/>
        <c:lblOffset val="100"/>
        <c:noMultiLvlLbl val="0"/>
      </c:catAx>
      <c:valAx>
        <c:axId val="12793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'24-26, 18-6'!$A$21</c:f>
              <c:strCache>
                <c:ptCount val="1"/>
                <c:pt idx="0">
                  <c:v>immediate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'24-26, 18-6'!$B$20:$E$20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18-6'!$B$21:$E$21</c:f>
              <c:numCache>
                <c:formatCode>0.0</c:formatCode>
                <c:ptCount val="4"/>
                <c:pt idx="0">
                  <c:v>282.18784109588802</c:v>
                </c:pt>
                <c:pt idx="1">
                  <c:v>326.20435261643502</c:v>
                </c:pt>
                <c:pt idx="2">
                  <c:v>179.33981273972401</c:v>
                </c:pt>
                <c:pt idx="3">
                  <c:v>787.73200645204804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8-4DAE-819F-61EC96D8848A}"/>
            </c:ext>
          </c:extLst>
        </c:ser>
        <c:ser>
          <c:idx val="1"/>
          <c:order val="1"/>
          <c:tx>
            <c:strRef>
              <c:f>'24-26, 18-6'!$A$22</c:f>
              <c:strCache>
                <c:ptCount val="1"/>
                <c:pt idx="0">
                  <c:v>smart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'24-26, 18-6'!$B$20:$E$20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18-6'!$B$22:$E$22</c:f>
              <c:numCache>
                <c:formatCode>0.0</c:formatCode>
                <c:ptCount val="4"/>
                <c:pt idx="0">
                  <c:v>145.255309671231</c:v>
                </c:pt>
                <c:pt idx="1">
                  <c:v>179.700022191779</c:v>
                </c:pt>
                <c:pt idx="2">
                  <c:v>113.108112273971</c:v>
                </c:pt>
                <c:pt idx="3">
                  <c:v>438.06344413698201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8-4DAE-819F-61EC96D8848A}"/>
            </c:ext>
          </c:extLst>
        </c:ser>
        <c:ser>
          <c:idx val="2"/>
          <c:order val="2"/>
          <c:tx>
            <c:strRef>
              <c:f>'24-26, 18-6'!$A$23</c:f>
              <c:strCache>
                <c:ptCount val="1"/>
                <c:pt idx="0">
                  <c:v>trading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'24-26, 18-6'!$B$20:$E$20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18-6'!$B$23:$E$23</c:f>
              <c:numCache>
                <c:formatCode>0.0</c:formatCode>
                <c:ptCount val="4"/>
                <c:pt idx="0">
                  <c:v>33.237780753424005</c:v>
                </c:pt>
                <c:pt idx="1">
                  <c:v>53.124698808218</c:v>
                </c:pt>
                <c:pt idx="2">
                  <c:v>59.307543342464299</c:v>
                </c:pt>
                <c:pt idx="3">
                  <c:v>145.67002290410602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8-4DAE-819F-61EC96D8848A}"/>
            </c:ext>
          </c:extLst>
        </c:ser>
        <c:ser>
          <c:idx val="3"/>
          <c:order val="3"/>
          <c:tx>
            <c:strRef>
              <c:f>'24-26, 18-6'!$A$24</c:f>
              <c:strCache>
                <c:ptCount val="1"/>
                <c:pt idx="0">
                  <c:v>trading_boosted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'24-26, 18-6'!$B$20:$E$20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Total</c:v>
                </c:pt>
              </c:strCache>
            </c:strRef>
          </c:cat>
          <c:val>
            <c:numRef>
              <c:f>'24-26, 18-6'!$B$24:$E$24</c:f>
              <c:numCache>
                <c:formatCode>0.0</c:formatCode>
                <c:ptCount val="4"/>
                <c:pt idx="0">
                  <c:v>-74.357948657535985</c:v>
                </c:pt>
                <c:pt idx="1">
                  <c:v>-54.811048191783016</c:v>
                </c:pt>
                <c:pt idx="2">
                  <c:v>1.2336667945190243</c:v>
                </c:pt>
                <c:pt idx="3">
                  <c:v>-127.93533005479003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A8-4DAE-819F-61EC96D8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337999"/>
        <c:axId val="1279335119"/>
      </c:barChart>
      <c:catAx>
        <c:axId val="12793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5119"/>
        <c:crosses val="autoZero"/>
        <c:auto val="1"/>
        <c:lblAlgn val="ctr"/>
        <c:lblOffset val="100"/>
        <c:noMultiLvlLbl val="0"/>
      </c:catAx>
      <c:valAx>
        <c:axId val="12793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55791</xdr:colOff>
      <xdr:row>24</xdr:row>
      <xdr:rowOff>28574</xdr:rowOff>
    </xdr:from>
    <xdr:to>
      <xdr:col>15</xdr:col>
      <xdr:colOff>781050</xdr:colOff>
      <xdr:row>37</xdr:row>
      <xdr:rowOff>152398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29A1B-6F00-01A6-9E67-0AC540658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1151164</xdr:colOff>
      <xdr:row>40</xdr:row>
      <xdr:rowOff>35379</xdr:rowOff>
    </xdr:from>
    <xdr:to>
      <xdr:col>18</xdr:col>
      <xdr:colOff>553810</xdr:colOff>
      <xdr:row>59</xdr:row>
      <xdr:rowOff>40141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4B8C0D-8320-4936-A1A5-A7A8E7EAD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17690</xdr:colOff>
      <xdr:row>19</xdr:row>
      <xdr:rowOff>112259</xdr:rowOff>
    </xdr:from>
    <xdr:to>
      <xdr:col>11</xdr:col>
      <xdr:colOff>323850</xdr:colOff>
      <xdr:row>36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64D7F4-A2B2-BCC3-5133-C538EBD28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11</xdr:col>
      <xdr:colOff>300718</xdr:colOff>
      <xdr:row>62</xdr:row>
      <xdr:rowOff>2041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67FBC1-331F-4AEB-9E4E-8CE2CC655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559254</xdr:colOff>
      <xdr:row>19</xdr:row>
      <xdr:rowOff>18370</xdr:rowOff>
    </xdr:from>
    <xdr:to>
      <xdr:col>14</xdr:col>
      <xdr:colOff>88446</xdr:colOff>
      <xdr:row>38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15522-D6DE-4329-B1BB-D2A4BFC33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39</xdr:row>
      <xdr:rowOff>57150</xdr:rowOff>
    </xdr:from>
    <xdr:to>
      <xdr:col>14</xdr:col>
      <xdr:colOff>103413</xdr:colOff>
      <xdr:row>58</xdr:row>
      <xdr:rowOff>56470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21409D-1CA9-481A-A378-6E0CA9076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559254</xdr:colOff>
      <xdr:row>19</xdr:row>
      <xdr:rowOff>18370</xdr:rowOff>
    </xdr:from>
    <xdr:to>
      <xdr:col>14</xdr:col>
      <xdr:colOff>88446</xdr:colOff>
      <xdr:row>38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5C524-B1AE-446C-B5EA-86245D4BA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39</xdr:row>
      <xdr:rowOff>57150</xdr:rowOff>
    </xdr:from>
    <xdr:to>
      <xdr:col>14</xdr:col>
      <xdr:colOff>103413</xdr:colOff>
      <xdr:row>58</xdr:row>
      <xdr:rowOff>56470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BEAC8-66D8-4B0D-A98F-D82F3E0FB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7047-5421-482E-88B4-73E1EE4EB9F6}">
  <dimension ref="A1:P60"/>
  <sheetViews>
    <sheetView tabSelected="1" workbookViewId="0">
      <selection activeCell="G6" sqref="G6"/>
    </sheetView>
  </sheetViews>
  <sheetFormatPr defaultRowHeight="14.6" x14ac:dyDescent="0.4"/>
  <cols>
    <col min="1" max="2" width="16.765625" style="3" customWidth="1"/>
    <col min="3" max="16" width="16.765625" customWidth="1"/>
  </cols>
  <sheetData>
    <row r="1" spans="1:16" s="1" customFormat="1" ht="43.75" x14ac:dyDescent="0.4">
      <c r="A1" s="2" t="s">
        <v>41</v>
      </c>
      <c r="B1" s="2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12</v>
      </c>
      <c r="O1" s="1" t="s">
        <v>39</v>
      </c>
      <c r="P1" s="1" t="s">
        <v>40</v>
      </c>
    </row>
    <row r="2" spans="1:16" x14ac:dyDescent="0.4">
      <c r="A2" s="3">
        <v>2024</v>
      </c>
      <c r="B2" s="3" t="s">
        <v>16</v>
      </c>
      <c r="C2" t="s">
        <v>16</v>
      </c>
      <c r="D2" s="7">
        <v>241.252771481407</v>
      </c>
      <c r="E2" s="7">
        <v>0</v>
      </c>
      <c r="F2" s="7">
        <v>150.39628180039</v>
      </c>
      <c r="G2" s="7">
        <f>D2-E2</f>
        <v>241.252771481407</v>
      </c>
      <c r="H2" s="7">
        <v>391.64905328179799</v>
      </c>
      <c r="I2" s="7">
        <v>6.5274842213633004</v>
      </c>
      <c r="J2" s="7">
        <v>0</v>
      </c>
      <c r="K2" s="11">
        <v>0</v>
      </c>
      <c r="L2">
        <v>20</v>
      </c>
      <c r="M2">
        <v>6</v>
      </c>
      <c r="N2" t="b">
        <v>1</v>
      </c>
      <c r="O2">
        <v>1</v>
      </c>
      <c r="P2">
        <v>50</v>
      </c>
    </row>
    <row r="3" spans="1:16" x14ac:dyDescent="0.4">
      <c r="A3" s="3">
        <v>2024</v>
      </c>
      <c r="B3" s="3" t="s">
        <v>17</v>
      </c>
      <c r="C3" t="s">
        <v>17</v>
      </c>
      <c r="D3" s="7">
        <v>145.25861452250399</v>
      </c>
      <c r="E3" s="7">
        <v>0</v>
      </c>
      <c r="F3" s="7">
        <v>150.355322896281</v>
      </c>
      <c r="G3" s="7">
        <f t="shared" ref="G3:G17" si="0">D3-E3</f>
        <v>145.25861452250399</v>
      </c>
      <c r="H3" s="7">
        <v>295.61393741878499</v>
      </c>
      <c r="I3" s="7">
        <v>4.9268989569797501</v>
      </c>
      <c r="J3" s="7">
        <v>96.035115863013203</v>
      </c>
      <c r="K3" s="11">
        <v>0.24520706754757299</v>
      </c>
      <c r="L3">
        <v>20</v>
      </c>
      <c r="M3">
        <v>6</v>
      </c>
      <c r="N3" t="b">
        <v>1</v>
      </c>
      <c r="O3">
        <v>1</v>
      </c>
      <c r="P3">
        <v>50</v>
      </c>
    </row>
    <row r="4" spans="1:16" x14ac:dyDescent="0.4">
      <c r="A4" s="3">
        <v>2024</v>
      </c>
      <c r="B4" s="3" t="s">
        <v>18</v>
      </c>
      <c r="C4" t="s">
        <v>19</v>
      </c>
      <c r="D4" s="7">
        <v>153.441043369862</v>
      </c>
      <c r="E4" s="7">
        <v>52.918709272016102</v>
      </c>
      <c r="F4" s="7">
        <v>183.63616438356101</v>
      </c>
      <c r="G4" s="7">
        <f t="shared" si="0"/>
        <v>100.5223340978459</v>
      </c>
      <c r="H4" s="7">
        <v>284.15849848140698</v>
      </c>
      <c r="I4" s="7">
        <v>4.7359749746901203</v>
      </c>
      <c r="J4" s="7">
        <v>107.49055480039</v>
      </c>
      <c r="K4" s="11">
        <v>0.27445631209798699</v>
      </c>
      <c r="L4">
        <v>20</v>
      </c>
      <c r="M4">
        <v>6</v>
      </c>
      <c r="N4" t="b">
        <v>1</v>
      </c>
      <c r="O4">
        <v>1</v>
      </c>
      <c r="P4">
        <v>50</v>
      </c>
    </row>
    <row r="5" spans="1:16" x14ac:dyDescent="0.4">
      <c r="A5" s="3">
        <v>2024</v>
      </c>
      <c r="B5" s="3" t="s">
        <v>20</v>
      </c>
      <c r="C5" t="s">
        <v>19</v>
      </c>
      <c r="D5" s="7">
        <v>227.72889482191701</v>
      </c>
      <c r="E5" s="7">
        <v>188.778344988258</v>
      </c>
      <c r="F5" s="7">
        <v>272.165479452054</v>
      </c>
      <c r="G5" s="7">
        <f t="shared" si="0"/>
        <v>38.950549833659011</v>
      </c>
      <c r="H5" s="7">
        <v>311.11602928571301</v>
      </c>
      <c r="I5" s="7">
        <v>5.1852671547618803</v>
      </c>
      <c r="J5" s="7">
        <v>80.533023996085205</v>
      </c>
      <c r="K5" s="11">
        <v>0.205625478527941</v>
      </c>
      <c r="L5">
        <v>20</v>
      </c>
      <c r="M5">
        <v>6</v>
      </c>
      <c r="N5" t="b">
        <v>1</v>
      </c>
      <c r="O5">
        <v>0.5</v>
      </c>
      <c r="P5">
        <v>25</v>
      </c>
    </row>
    <row r="6" spans="1:16" x14ac:dyDescent="0.4">
      <c r="A6" s="3">
        <v>2025</v>
      </c>
      <c r="B6" s="3" t="s">
        <v>16</v>
      </c>
      <c r="C6" t="s">
        <v>16</v>
      </c>
      <c r="D6" s="7">
        <v>272.81659009588901</v>
      </c>
      <c r="E6" s="7">
        <v>0</v>
      </c>
      <c r="F6" s="7">
        <v>149.99999999999901</v>
      </c>
      <c r="G6" s="7">
        <f t="shared" si="0"/>
        <v>272.81659009588901</v>
      </c>
      <c r="H6" s="7">
        <v>422.81659009588799</v>
      </c>
      <c r="I6" s="7">
        <v>7.0469431682648001</v>
      </c>
      <c r="J6" s="7">
        <v>0</v>
      </c>
      <c r="K6" s="11">
        <v>0</v>
      </c>
      <c r="L6">
        <v>20</v>
      </c>
      <c r="M6">
        <v>6</v>
      </c>
      <c r="N6" t="b">
        <v>1</v>
      </c>
      <c r="O6">
        <v>1</v>
      </c>
      <c r="P6">
        <v>50</v>
      </c>
    </row>
    <row r="7" spans="1:16" x14ac:dyDescent="0.4">
      <c r="A7" s="3">
        <v>2025</v>
      </c>
      <c r="B7" s="3" t="s">
        <v>17</v>
      </c>
      <c r="C7" t="s">
        <v>17</v>
      </c>
      <c r="D7" s="7">
        <v>179.89220761643699</v>
      </c>
      <c r="E7" s="7">
        <v>0</v>
      </c>
      <c r="F7" s="7">
        <v>149.629999999999</v>
      </c>
      <c r="G7" s="7">
        <f t="shared" si="0"/>
        <v>179.89220761643699</v>
      </c>
      <c r="H7" s="7">
        <v>329.52220761643599</v>
      </c>
      <c r="I7" s="7">
        <v>5.4920367936072703</v>
      </c>
      <c r="J7" s="7">
        <v>93.294382479451698</v>
      </c>
      <c r="K7" s="11">
        <v>0.22064976792489099</v>
      </c>
      <c r="L7">
        <v>20</v>
      </c>
      <c r="M7">
        <v>6</v>
      </c>
      <c r="N7" t="b">
        <v>1</v>
      </c>
      <c r="O7">
        <v>1</v>
      </c>
      <c r="P7">
        <v>50</v>
      </c>
    </row>
    <row r="8" spans="1:16" x14ac:dyDescent="0.4">
      <c r="A8" s="3">
        <v>2025</v>
      </c>
      <c r="B8" s="3" t="s">
        <v>18</v>
      </c>
      <c r="C8" t="s">
        <v>19</v>
      </c>
      <c r="D8" s="7">
        <v>194.97649598630099</v>
      </c>
      <c r="E8" s="7">
        <v>61.787829438356503</v>
      </c>
      <c r="F8" s="7">
        <v>184.57808219178</v>
      </c>
      <c r="G8" s="7">
        <f t="shared" si="0"/>
        <v>133.18866654794448</v>
      </c>
      <c r="H8" s="7">
        <v>317.76674873972502</v>
      </c>
      <c r="I8" s="7">
        <v>5.2961124789954104</v>
      </c>
      <c r="J8" s="7">
        <v>105.049841356163</v>
      </c>
      <c r="K8" s="11">
        <v>0.24845250592541701</v>
      </c>
      <c r="L8">
        <v>20</v>
      </c>
      <c r="M8">
        <v>6</v>
      </c>
      <c r="N8" t="b">
        <v>1</v>
      </c>
      <c r="O8">
        <v>1</v>
      </c>
      <c r="P8">
        <v>50</v>
      </c>
    </row>
    <row r="9" spans="1:16" x14ac:dyDescent="0.4">
      <c r="A9" s="3">
        <v>2025</v>
      </c>
      <c r="B9" s="3" t="s">
        <v>20</v>
      </c>
      <c r="C9" t="s">
        <v>19</v>
      </c>
      <c r="D9" s="7">
        <v>281.92336619178002</v>
      </c>
      <c r="E9" s="7">
        <v>204.37471079452001</v>
      </c>
      <c r="F9" s="7">
        <v>264.36164383561498</v>
      </c>
      <c r="G9" s="7">
        <f t="shared" si="0"/>
        <v>77.548655397260006</v>
      </c>
      <c r="H9" s="7">
        <v>341.91029923287499</v>
      </c>
      <c r="I9" s="7">
        <v>5.6985049872145899</v>
      </c>
      <c r="J9" s="7">
        <v>80.906290863012998</v>
      </c>
      <c r="K9" s="11">
        <v>0.191350795494246</v>
      </c>
      <c r="L9">
        <v>20</v>
      </c>
      <c r="M9">
        <v>6</v>
      </c>
      <c r="N9" t="b">
        <v>1</v>
      </c>
      <c r="O9">
        <v>0.5</v>
      </c>
      <c r="P9">
        <v>25</v>
      </c>
    </row>
    <row r="10" spans="1:16" x14ac:dyDescent="0.4">
      <c r="A10" s="3">
        <v>2026</v>
      </c>
      <c r="B10" s="3" t="s">
        <v>16</v>
      </c>
      <c r="C10" t="s">
        <v>16</v>
      </c>
      <c r="D10" s="7">
        <v>160.95321995890299</v>
      </c>
      <c r="E10" s="7">
        <v>0</v>
      </c>
      <c r="F10" s="7">
        <v>73.561643835615996</v>
      </c>
      <c r="G10" s="7">
        <f t="shared" si="0"/>
        <v>160.95321995890299</v>
      </c>
      <c r="H10" s="7">
        <v>234.51486379451899</v>
      </c>
      <c r="I10" s="7">
        <v>3.9085810632419902</v>
      </c>
      <c r="J10" s="7">
        <v>0</v>
      </c>
      <c r="K10" s="11">
        <v>0</v>
      </c>
      <c r="L10">
        <v>20</v>
      </c>
      <c r="M10">
        <v>6</v>
      </c>
      <c r="N10" t="b">
        <v>1</v>
      </c>
      <c r="O10">
        <v>1</v>
      </c>
      <c r="P10">
        <v>50</v>
      </c>
    </row>
    <row r="11" spans="1:16" x14ac:dyDescent="0.4">
      <c r="A11" s="3">
        <v>2026</v>
      </c>
      <c r="B11" s="3" t="s">
        <v>17</v>
      </c>
      <c r="C11" t="s">
        <v>17</v>
      </c>
      <c r="D11" s="7">
        <v>113.29253919177999</v>
      </c>
      <c r="E11" s="7">
        <v>0</v>
      </c>
      <c r="F11" s="7">
        <v>73.972602739725602</v>
      </c>
      <c r="G11" s="7">
        <f t="shared" si="0"/>
        <v>113.29253919177999</v>
      </c>
      <c r="H11" s="7">
        <v>187.26514193150501</v>
      </c>
      <c r="I11" s="7">
        <v>3.1210856988584301</v>
      </c>
      <c r="J11" s="7">
        <v>47.249721863013498</v>
      </c>
      <c r="K11" s="11">
        <v>0.20147858049805001</v>
      </c>
      <c r="L11">
        <v>20</v>
      </c>
      <c r="M11">
        <v>6</v>
      </c>
      <c r="N11" t="b">
        <v>1</v>
      </c>
      <c r="O11">
        <v>1</v>
      </c>
      <c r="P11">
        <v>50</v>
      </c>
    </row>
    <row r="12" spans="1:16" x14ac:dyDescent="0.4">
      <c r="A12" s="3">
        <v>2026</v>
      </c>
      <c r="B12" s="3" t="s">
        <v>18</v>
      </c>
      <c r="C12" t="s">
        <v>19</v>
      </c>
      <c r="D12" s="7">
        <v>121.753250136986</v>
      </c>
      <c r="E12" s="7">
        <v>29.305614767123501</v>
      </c>
      <c r="F12" s="7">
        <v>86.703767123287406</v>
      </c>
      <c r="G12" s="7">
        <f t="shared" si="0"/>
        <v>92.447635369862496</v>
      </c>
      <c r="H12" s="7">
        <v>179.15140249314999</v>
      </c>
      <c r="I12" s="7">
        <v>2.9858567082191598</v>
      </c>
      <c r="J12" s="7">
        <v>55.363461301369398</v>
      </c>
      <c r="K12" s="11">
        <v>0.23607655568424199</v>
      </c>
      <c r="L12">
        <v>20</v>
      </c>
      <c r="M12">
        <v>6</v>
      </c>
      <c r="N12" t="b">
        <v>1</v>
      </c>
      <c r="O12">
        <v>1</v>
      </c>
      <c r="P12">
        <v>50</v>
      </c>
    </row>
    <row r="13" spans="1:16" x14ac:dyDescent="0.4">
      <c r="A13" s="3">
        <v>2026</v>
      </c>
      <c r="B13" s="3" t="s">
        <v>20</v>
      </c>
      <c r="C13" t="s">
        <v>19</v>
      </c>
      <c r="D13" s="7">
        <v>192.42660278082101</v>
      </c>
      <c r="E13" s="7">
        <v>131.47537495890401</v>
      </c>
      <c r="F13" s="7">
        <v>132.63342465753399</v>
      </c>
      <c r="G13" s="7">
        <f t="shared" si="0"/>
        <v>60.951227821917001</v>
      </c>
      <c r="H13" s="7">
        <v>193.58465247945099</v>
      </c>
      <c r="I13" s="7">
        <v>3.22641087465751</v>
      </c>
      <c r="J13" s="7">
        <v>40.930211315068199</v>
      </c>
      <c r="K13" s="11">
        <v>0.17453141627274801</v>
      </c>
      <c r="L13">
        <v>20</v>
      </c>
      <c r="M13">
        <v>6</v>
      </c>
      <c r="N13" t="b">
        <v>1</v>
      </c>
      <c r="O13">
        <v>0.5</v>
      </c>
      <c r="P13">
        <v>25</v>
      </c>
    </row>
    <row r="14" spans="1:16" x14ac:dyDescent="0.4">
      <c r="A14" s="3" t="s">
        <v>15</v>
      </c>
      <c r="B14" s="3" t="s">
        <v>16</v>
      </c>
      <c r="C14" t="s">
        <v>16</v>
      </c>
      <c r="D14" s="7">
        <v>675.02258153620005</v>
      </c>
      <c r="E14" s="7">
        <v>0</v>
      </c>
      <c r="F14" s="7">
        <v>373.95792563600497</v>
      </c>
      <c r="G14" s="7">
        <f t="shared" si="0"/>
        <v>675.02258153620005</v>
      </c>
      <c r="H14" s="7">
        <v>1048.9805071722001</v>
      </c>
      <c r="I14" s="7">
        <v>17.483008452870099</v>
      </c>
      <c r="J14" s="7">
        <v>0</v>
      </c>
      <c r="K14" s="11">
        <v>0</v>
      </c>
      <c r="L14">
        <v>20</v>
      </c>
      <c r="M14">
        <v>6</v>
      </c>
      <c r="N14" t="b">
        <v>1</v>
      </c>
      <c r="O14">
        <v>1</v>
      </c>
      <c r="P14">
        <v>50</v>
      </c>
    </row>
    <row r="15" spans="1:16" x14ac:dyDescent="0.4">
      <c r="A15" s="3" t="s">
        <v>15</v>
      </c>
      <c r="B15" s="3" t="s">
        <v>17</v>
      </c>
      <c r="C15" t="s">
        <v>17</v>
      </c>
      <c r="D15" s="7">
        <v>438.44336133072102</v>
      </c>
      <c r="E15" s="7">
        <v>0</v>
      </c>
      <c r="F15" s="7">
        <v>373.957925636006</v>
      </c>
      <c r="G15" s="7">
        <f t="shared" si="0"/>
        <v>438.44336133072102</v>
      </c>
      <c r="H15" s="7">
        <v>812.40128696672696</v>
      </c>
      <c r="I15" s="7">
        <v>13.540021449445399</v>
      </c>
      <c r="J15" s="7">
        <v>236.57922020547801</v>
      </c>
      <c r="K15" s="11">
        <v>0.22553252285234299</v>
      </c>
      <c r="L15">
        <v>20</v>
      </c>
      <c r="M15">
        <v>6</v>
      </c>
      <c r="N15" t="b">
        <v>1</v>
      </c>
      <c r="O15">
        <v>1</v>
      </c>
      <c r="P15">
        <v>50</v>
      </c>
    </row>
    <row r="16" spans="1:16" x14ac:dyDescent="0.4">
      <c r="A16" s="3" t="s">
        <v>15</v>
      </c>
      <c r="B16" s="3" t="s">
        <v>18</v>
      </c>
      <c r="C16" t="s">
        <v>19</v>
      </c>
      <c r="D16" s="7">
        <v>470.17078949314998</v>
      </c>
      <c r="E16" s="7">
        <v>144.01215347749601</v>
      </c>
      <c r="F16" s="7">
        <v>454.91801369862901</v>
      </c>
      <c r="G16" s="7">
        <f t="shared" si="0"/>
        <v>326.158636015654</v>
      </c>
      <c r="H16" s="7">
        <v>781.07664971428198</v>
      </c>
      <c r="I16" s="7">
        <v>13.017944161904699</v>
      </c>
      <c r="J16" s="7">
        <v>267.90385745792298</v>
      </c>
      <c r="K16" s="11">
        <v>0.25539450507057199</v>
      </c>
      <c r="L16">
        <v>20</v>
      </c>
      <c r="M16">
        <v>6</v>
      </c>
      <c r="N16" t="b">
        <v>1</v>
      </c>
      <c r="O16">
        <v>1</v>
      </c>
      <c r="P16">
        <v>50</v>
      </c>
    </row>
    <row r="17" spans="1:16" x14ac:dyDescent="0.4">
      <c r="A17" s="3" t="s">
        <v>15</v>
      </c>
      <c r="B17" s="3" t="s">
        <v>20</v>
      </c>
      <c r="C17" t="s">
        <v>19</v>
      </c>
      <c r="D17" s="7">
        <v>702.07886379451895</v>
      </c>
      <c r="E17" s="7">
        <v>524.62843074168404</v>
      </c>
      <c r="F17" s="7">
        <v>669.16054794520403</v>
      </c>
      <c r="G17" s="7">
        <f t="shared" si="0"/>
        <v>177.45043305283491</v>
      </c>
      <c r="H17" s="7">
        <v>846.61098099803996</v>
      </c>
      <c r="I17" s="7">
        <v>14.110183016634</v>
      </c>
      <c r="J17" s="7">
        <v>202.369526174166</v>
      </c>
      <c r="K17" s="11">
        <v>0.19292019707754601</v>
      </c>
      <c r="L17">
        <v>20</v>
      </c>
      <c r="M17">
        <v>6</v>
      </c>
      <c r="N17" t="b">
        <v>1</v>
      </c>
      <c r="O17">
        <v>0.5</v>
      </c>
      <c r="P17">
        <v>25</v>
      </c>
    </row>
    <row r="19" spans="1:16" x14ac:dyDescent="0.4">
      <c r="E19">
        <f>E21/G42</f>
        <v>270.75081567111317</v>
      </c>
    </row>
    <row r="20" spans="1:16" x14ac:dyDescent="0.4">
      <c r="A20" s="12" t="s">
        <v>42</v>
      </c>
      <c r="B20" s="4">
        <v>2024</v>
      </c>
      <c r="C20" s="4">
        <v>2025</v>
      </c>
      <c r="D20" s="4">
        <v>2026</v>
      </c>
      <c r="E20" s="4" t="s">
        <v>45</v>
      </c>
    </row>
    <row r="21" spans="1:16" x14ac:dyDescent="0.4">
      <c r="A21" s="3" t="s">
        <v>16</v>
      </c>
      <c r="B21" s="8">
        <f>G2</f>
        <v>241.252771481407</v>
      </c>
      <c r="C21" s="8">
        <f>G6</f>
        <v>272.81659009588901</v>
      </c>
      <c r="D21" s="8">
        <f>G10</f>
        <v>160.95321995890299</v>
      </c>
      <c r="E21" s="8">
        <f>G14</f>
        <v>675.02258153620005</v>
      </c>
    </row>
    <row r="22" spans="1:16" x14ac:dyDescent="0.4">
      <c r="A22" s="3" t="s">
        <v>17</v>
      </c>
      <c r="B22" s="8">
        <f t="shared" ref="B22:B24" si="1">G3</f>
        <v>145.25861452250399</v>
      </c>
      <c r="C22" s="8">
        <f t="shared" ref="C22:C24" si="2">G7</f>
        <v>179.89220761643699</v>
      </c>
      <c r="D22" s="8">
        <f t="shared" ref="D22:D24" si="3">G11</f>
        <v>113.29253919177999</v>
      </c>
      <c r="E22" s="8">
        <f t="shared" ref="E22:E24" si="4">G15</f>
        <v>438.44336133072102</v>
      </c>
    </row>
    <row r="23" spans="1:16" x14ac:dyDescent="0.4">
      <c r="A23" s="3" t="s">
        <v>18</v>
      </c>
      <c r="B23" s="8">
        <f t="shared" si="1"/>
        <v>100.5223340978459</v>
      </c>
      <c r="C23" s="8">
        <f t="shared" si="2"/>
        <v>133.18866654794448</v>
      </c>
      <c r="D23" s="8">
        <f t="shared" si="3"/>
        <v>92.447635369862496</v>
      </c>
      <c r="E23" s="8">
        <f t="shared" si="4"/>
        <v>326.158636015654</v>
      </c>
    </row>
    <row r="24" spans="1:16" x14ac:dyDescent="0.4">
      <c r="A24" s="3" t="s">
        <v>44</v>
      </c>
      <c r="B24" s="8">
        <f t="shared" si="1"/>
        <v>38.950549833659011</v>
      </c>
      <c r="C24" s="8">
        <f t="shared" si="2"/>
        <v>77.548655397260006</v>
      </c>
      <c r="D24" s="8">
        <f t="shared" si="3"/>
        <v>60.951227821917001</v>
      </c>
      <c r="E24" s="8">
        <f t="shared" si="4"/>
        <v>177.45043305283491</v>
      </c>
    </row>
    <row r="25" spans="1:16" x14ac:dyDescent="0.4">
      <c r="B25" s="6"/>
      <c r="C25" s="7"/>
      <c r="D25" s="7"/>
      <c r="E25" s="7"/>
    </row>
    <row r="26" spans="1:16" x14ac:dyDescent="0.4">
      <c r="A26" s="12" t="s">
        <v>42</v>
      </c>
      <c r="B26" s="8">
        <v>2024</v>
      </c>
      <c r="C26" s="8">
        <v>2025</v>
      </c>
      <c r="D26" s="8">
        <v>2026</v>
      </c>
      <c r="E26" s="5" t="s">
        <v>21</v>
      </c>
    </row>
    <row r="27" spans="1:16" x14ac:dyDescent="0.4">
      <c r="A27" s="3" t="s">
        <v>16</v>
      </c>
      <c r="B27" s="5">
        <f>(B21-B$21)*-1</f>
        <v>0</v>
      </c>
      <c r="C27" s="5">
        <f t="shared" ref="C27:E27" si="5">(C21-C$21)*-1</f>
        <v>0</v>
      </c>
      <c r="D27" s="5">
        <f t="shared" si="5"/>
        <v>0</v>
      </c>
      <c r="E27" s="5">
        <f t="shared" si="5"/>
        <v>0</v>
      </c>
    </row>
    <row r="28" spans="1:16" x14ac:dyDescent="0.4">
      <c r="A28" s="3" t="s">
        <v>17</v>
      </c>
      <c r="B28" s="5">
        <f t="shared" ref="B28:E28" si="6">(B22-B$21)*-1</f>
        <v>95.994156958903005</v>
      </c>
      <c r="C28" s="5">
        <f t="shared" si="6"/>
        <v>92.924382479452021</v>
      </c>
      <c r="D28" s="5">
        <f t="shared" si="6"/>
        <v>47.660680767122997</v>
      </c>
      <c r="E28" s="5">
        <f t="shared" si="6"/>
        <v>236.57922020547903</v>
      </c>
    </row>
    <row r="29" spans="1:16" x14ac:dyDescent="0.4">
      <c r="A29" s="3" t="s">
        <v>18</v>
      </c>
      <c r="B29" s="5">
        <f t="shared" ref="B29:E29" si="7">(B23-B$21)*-1</f>
        <v>140.73043738356108</v>
      </c>
      <c r="C29" s="5">
        <f t="shared" si="7"/>
        <v>139.62792354794453</v>
      </c>
      <c r="D29" s="5">
        <f t="shared" si="7"/>
        <v>68.505584589040495</v>
      </c>
      <c r="E29" s="5">
        <f t="shared" si="7"/>
        <v>348.86394552054605</v>
      </c>
    </row>
    <row r="30" spans="1:16" x14ac:dyDescent="0.4">
      <c r="A30" s="3" t="s">
        <v>44</v>
      </c>
      <c r="B30" s="5">
        <f t="shared" ref="B30:E30" si="8">(B24-B$21)*-1</f>
        <v>202.30222164774798</v>
      </c>
      <c r="C30" s="5">
        <f t="shared" si="8"/>
        <v>195.26793469862901</v>
      </c>
      <c r="D30" s="5">
        <f t="shared" si="8"/>
        <v>100.00199213698599</v>
      </c>
      <c r="E30" s="5">
        <f t="shared" si="8"/>
        <v>497.57214848336514</v>
      </c>
    </row>
    <row r="32" spans="1:16" x14ac:dyDescent="0.4">
      <c r="A32" s="13" t="s">
        <v>43</v>
      </c>
      <c r="B32" s="8">
        <v>2024</v>
      </c>
      <c r="C32" s="8">
        <v>2025</v>
      </c>
      <c r="D32" s="8">
        <v>2026</v>
      </c>
      <c r="E32" s="5" t="s">
        <v>21</v>
      </c>
    </row>
    <row r="33" spans="1:7" x14ac:dyDescent="0.4">
      <c r="A33" s="3" t="s">
        <v>16</v>
      </c>
      <c r="B33" s="5">
        <f>H2</f>
        <v>391.64905328179799</v>
      </c>
      <c r="C33" s="5">
        <f>H6</f>
        <v>422.81659009588799</v>
      </c>
      <c r="D33" s="5">
        <f>H10</f>
        <v>234.51486379451899</v>
      </c>
      <c r="E33" s="5">
        <f>H14</f>
        <v>1048.9805071722001</v>
      </c>
    </row>
    <row r="34" spans="1:7" x14ac:dyDescent="0.4">
      <c r="A34" s="3" t="s">
        <v>17</v>
      </c>
      <c r="B34" s="5">
        <f t="shared" ref="B34:B36" si="9">H3</f>
        <v>295.61393741878499</v>
      </c>
      <c r="C34" s="5">
        <f t="shared" ref="C34:C36" si="10">H7</f>
        <v>329.52220761643599</v>
      </c>
      <c r="D34" s="5">
        <f t="shared" ref="D34:D36" si="11">H11</f>
        <v>187.26514193150501</v>
      </c>
      <c r="E34" s="5">
        <f t="shared" ref="E34:E36" si="12">H15</f>
        <v>812.40128696672696</v>
      </c>
    </row>
    <row r="35" spans="1:7" x14ac:dyDescent="0.4">
      <c r="A35" s="3" t="s">
        <v>18</v>
      </c>
      <c r="B35" s="5">
        <f t="shared" si="9"/>
        <v>284.15849848140698</v>
      </c>
      <c r="C35" s="5">
        <f t="shared" si="10"/>
        <v>317.76674873972502</v>
      </c>
      <c r="D35" s="5">
        <f t="shared" si="11"/>
        <v>179.15140249314999</v>
      </c>
      <c r="E35" s="5">
        <f t="shared" si="12"/>
        <v>781.07664971428198</v>
      </c>
    </row>
    <row r="36" spans="1:7" x14ac:dyDescent="0.4">
      <c r="A36" s="3" t="s">
        <v>44</v>
      </c>
      <c r="B36" s="5">
        <f t="shared" si="9"/>
        <v>311.11602928571301</v>
      </c>
      <c r="C36" s="5">
        <f t="shared" si="10"/>
        <v>341.91029923287499</v>
      </c>
      <c r="D36" s="5">
        <f t="shared" si="11"/>
        <v>193.58465247945099</v>
      </c>
      <c r="E36" s="5">
        <f t="shared" si="12"/>
        <v>846.61098099803996</v>
      </c>
    </row>
    <row r="38" spans="1:7" x14ac:dyDescent="0.4">
      <c r="A38" s="13" t="s">
        <v>43</v>
      </c>
      <c r="B38" s="8">
        <v>2024</v>
      </c>
      <c r="C38" s="8">
        <v>2025</v>
      </c>
      <c r="D38" s="8">
        <v>2026</v>
      </c>
      <c r="E38" s="5" t="s">
        <v>21</v>
      </c>
    </row>
    <row r="39" spans="1:7" x14ac:dyDescent="0.4">
      <c r="A39" s="3" t="s">
        <v>16</v>
      </c>
      <c r="B39" s="5">
        <f>(B33-B$33)*-1</f>
        <v>0</v>
      </c>
      <c r="C39" s="5">
        <f t="shared" ref="C39:E39" si="13">(C33-C$33)*-1</f>
        <v>0</v>
      </c>
      <c r="D39" s="5">
        <f t="shared" si="13"/>
        <v>0</v>
      </c>
      <c r="E39" s="5">
        <f t="shared" si="13"/>
        <v>0</v>
      </c>
      <c r="F39" s="3" t="s">
        <v>26</v>
      </c>
      <c r="G39" s="9">
        <v>45292</v>
      </c>
    </row>
    <row r="40" spans="1:7" x14ac:dyDescent="0.4">
      <c r="A40" s="3" t="s">
        <v>17</v>
      </c>
      <c r="B40" s="5">
        <f t="shared" ref="B40:E40" si="14">(B34-B$33)*-1</f>
        <v>96.035115863013004</v>
      </c>
      <c r="C40" s="5">
        <f t="shared" si="14"/>
        <v>93.294382479451997</v>
      </c>
      <c r="D40" s="5">
        <f t="shared" si="14"/>
        <v>47.249721863013974</v>
      </c>
      <c r="E40" s="5">
        <f t="shared" si="14"/>
        <v>236.57922020547312</v>
      </c>
      <c r="F40" s="3" t="s">
        <v>27</v>
      </c>
      <c r="G40" s="9">
        <v>46202</v>
      </c>
    </row>
    <row r="41" spans="1:7" x14ac:dyDescent="0.4">
      <c r="A41" s="3" t="s">
        <v>18</v>
      </c>
      <c r="B41" s="5">
        <f t="shared" ref="B41:E41" si="15">(B35-B$33)*-1</f>
        <v>107.49055480039101</v>
      </c>
      <c r="C41" s="5">
        <f t="shared" si="15"/>
        <v>105.04984135616297</v>
      </c>
      <c r="D41" s="5">
        <f t="shared" si="15"/>
        <v>55.363461301369</v>
      </c>
      <c r="E41" s="5">
        <f t="shared" si="15"/>
        <v>267.90385745791809</v>
      </c>
      <c r="F41" s="3" t="s">
        <v>28</v>
      </c>
      <c r="G41" s="3">
        <f>G40-G39</f>
        <v>910</v>
      </c>
    </row>
    <row r="42" spans="1:7" x14ac:dyDescent="0.4">
      <c r="A42" s="3" t="s">
        <v>44</v>
      </c>
      <c r="B42" s="5">
        <f t="shared" ref="B42:E42" si="16">(B36-B$33)*-1</f>
        <v>80.533023996084978</v>
      </c>
      <c r="C42" s="5">
        <f t="shared" si="16"/>
        <v>80.906290863012998</v>
      </c>
      <c r="D42" s="5">
        <f t="shared" si="16"/>
        <v>40.930211315067993</v>
      </c>
      <c r="E42" s="5">
        <f t="shared" si="16"/>
        <v>202.36952617416011</v>
      </c>
      <c r="F42" s="3" t="s">
        <v>25</v>
      </c>
      <c r="G42" s="10">
        <f>G41/365</f>
        <v>2.493150684931507</v>
      </c>
    </row>
    <row r="44" spans="1:7" x14ac:dyDescent="0.4">
      <c r="A44" s="12" t="s">
        <v>42</v>
      </c>
      <c r="B44" s="3" t="s">
        <v>24</v>
      </c>
      <c r="C44" s="3" t="s">
        <v>23</v>
      </c>
      <c r="D44" s="3" t="s">
        <v>22</v>
      </c>
    </row>
    <row r="45" spans="1:7" x14ac:dyDescent="0.4">
      <c r="A45" s="3" t="s">
        <v>16</v>
      </c>
      <c r="B45" s="5">
        <f>E27/$G$42</f>
        <v>0</v>
      </c>
      <c r="C45" s="5">
        <f>'24-26, 19-6'!E27/$G$42</f>
        <v>0</v>
      </c>
      <c r="D45" s="5">
        <f>'24-26, 18-6'!E27/$G$42</f>
        <v>0</v>
      </c>
    </row>
    <row r="46" spans="1:7" x14ac:dyDescent="0.4">
      <c r="A46" s="3" t="s">
        <v>17</v>
      </c>
      <c r="B46" s="8">
        <f>E28/$G$42</f>
        <v>94.891665247252575</v>
      </c>
      <c r="C46" s="8">
        <f>'24-26, 19-6'!E28/$G$42</f>
        <v>117.51374647886632</v>
      </c>
      <c r="D46" s="8">
        <f>'24-26, 18-6'!E28/$G$42</f>
        <v>140.25167609340559</v>
      </c>
    </row>
    <row r="47" spans="1:7" x14ac:dyDescent="0.4">
      <c r="A47" s="3" t="s">
        <v>18</v>
      </c>
      <c r="B47" s="8">
        <f>E29/$G$42</f>
        <v>139.92894518131791</v>
      </c>
      <c r="C47" s="8">
        <f>'24-26, 19-6'!E29/$G$42</f>
        <v>192.38098360693022</v>
      </c>
      <c r="D47" s="8">
        <f>'24-26, 18-6'!E29/$G$42</f>
        <v>257.53035603846024</v>
      </c>
    </row>
    <row r="48" spans="1:7" x14ac:dyDescent="0.4">
      <c r="A48" s="3" t="s">
        <v>20</v>
      </c>
      <c r="B48" s="8">
        <f>E30/$G$42</f>
        <v>199.57564197409698</v>
      </c>
      <c r="C48" s="8">
        <f>'24-26, 19-6'!E30/$G$42</f>
        <v>276.80367749577289</v>
      </c>
      <c r="D48" s="8">
        <f>'24-26, 18-6'!E30/$G$42</f>
        <v>367.27316244505039</v>
      </c>
    </row>
    <row r="50" spans="1:4" x14ac:dyDescent="0.4">
      <c r="A50" s="12" t="s">
        <v>42</v>
      </c>
      <c r="B50" s="3" t="s">
        <v>24</v>
      </c>
      <c r="C50" s="3" t="s">
        <v>23</v>
      </c>
      <c r="D50" s="3" t="s">
        <v>22</v>
      </c>
    </row>
    <row r="51" spans="1:4" x14ac:dyDescent="0.4">
      <c r="A51" s="3" t="s">
        <v>16</v>
      </c>
      <c r="B51" s="5">
        <f>E21/$G$42</f>
        <v>270.75081567111317</v>
      </c>
      <c r="C51" s="5">
        <f>'24-26, 19-6'!E21/$G$42</f>
        <v>293.33143340151867</v>
      </c>
      <c r="D51" s="5">
        <f>'24-26, 18-6'!E21/$G$42</f>
        <v>315.95844214834892</v>
      </c>
    </row>
    <row r="52" spans="1:4" x14ac:dyDescent="0.4">
      <c r="A52" s="3" t="s">
        <v>17</v>
      </c>
      <c r="B52" s="5">
        <f>E22/$G$42</f>
        <v>175.85915042386063</v>
      </c>
      <c r="C52" s="5">
        <f>'24-26, 19-6'!E22/$G$42</f>
        <v>175.81768692265237</v>
      </c>
      <c r="D52" s="5">
        <f>'24-26, 18-6'!E22/$G$42</f>
        <v>175.70676605494333</v>
      </c>
    </row>
    <row r="53" spans="1:4" x14ac:dyDescent="0.4">
      <c r="A53" s="3" t="s">
        <v>18</v>
      </c>
      <c r="B53" s="5">
        <f>E23/$G$42</f>
        <v>130.82187048979529</v>
      </c>
      <c r="C53" s="5">
        <f>'24-26, 19-6'!E23/$G$42</f>
        <v>100.95044979458848</v>
      </c>
      <c r="D53" s="5">
        <f>'24-26, 18-6'!E23/$G$42</f>
        <v>58.428086109888675</v>
      </c>
    </row>
    <row r="54" spans="1:4" x14ac:dyDescent="0.4">
      <c r="A54" s="3" t="s">
        <v>20</v>
      </c>
      <c r="B54" s="5">
        <f>E24/$G$42</f>
        <v>71.175173697016191</v>
      </c>
      <c r="C54" s="5">
        <f>'24-26, 19-6'!E24/$G$42</f>
        <v>16.527755905745813</v>
      </c>
      <c r="D54" s="5">
        <f>'24-26, 18-6'!E24/$G$42</f>
        <v>-51.314720296701488</v>
      </c>
    </row>
    <row r="56" spans="1:4" x14ac:dyDescent="0.4">
      <c r="A56" s="13" t="s">
        <v>43</v>
      </c>
      <c r="B56" s="3" t="s">
        <v>24</v>
      </c>
      <c r="C56" s="3" t="s">
        <v>23</v>
      </c>
      <c r="D56" s="3" t="s">
        <v>22</v>
      </c>
    </row>
    <row r="57" spans="1:4" x14ac:dyDescent="0.4">
      <c r="A57" s="3" t="s">
        <v>16</v>
      </c>
      <c r="B57" s="5">
        <f>E39/$G$42</f>
        <v>0</v>
      </c>
      <c r="C57" s="5">
        <f>'24-26, 19-6'!E39/$G$42</f>
        <v>0</v>
      </c>
      <c r="D57" s="5">
        <f>'24-26, 18-6'!E39/$G$42</f>
        <v>0</v>
      </c>
    </row>
    <row r="58" spans="1:4" x14ac:dyDescent="0.4">
      <c r="A58" s="3" t="s">
        <v>17</v>
      </c>
      <c r="B58" s="5">
        <f>E40/$G$42</f>
        <v>94.891665247250202</v>
      </c>
      <c r="C58" s="5">
        <f>'24-26, 19-6'!E40/$G$42</f>
        <v>117.51374647886504</v>
      </c>
      <c r="D58" s="5">
        <f>'24-26, 18-6'!E40/$G$42</f>
        <v>140.25167609340556</v>
      </c>
    </row>
    <row r="59" spans="1:4" x14ac:dyDescent="0.4">
      <c r="A59" s="3" t="s">
        <v>18</v>
      </c>
      <c r="B59" s="5">
        <f>E41/$G$42</f>
        <v>107.45594282652758</v>
      </c>
      <c r="C59" s="5">
        <f>'24-26, 19-6'!E41/$G$42</f>
        <v>140.39928665003987</v>
      </c>
      <c r="D59" s="5">
        <f>'24-26, 18-6'!E41/$G$42</f>
        <v>179.75348790659231</v>
      </c>
    </row>
    <row r="60" spans="1:4" x14ac:dyDescent="0.4">
      <c r="A60" s="3" t="s">
        <v>20</v>
      </c>
      <c r="B60" s="5">
        <f>E42/$G$42</f>
        <v>81.170194564360912</v>
      </c>
      <c r="C60" s="5">
        <f>'24-26, 19-6'!E42/$G$42</f>
        <v>102.01815551774897</v>
      </c>
      <c r="D60" s="5">
        <f>'24-26, 18-6'!E42/$G$42</f>
        <v>128.60838222527363</v>
      </c>
    </row>
  </sheetData>
  <autoFilter ref="A1:P1" xr:uid="{CB7B7047-5421-482E-88B4-73E1EE4EB9F6}">
    <sortState xmlns:xlrd2="http://schemas.microsoft.com/office/spreadsheetml/2017/richdata2" ref="A2:P17">
      <sortCondition ref="A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0509-49C4-41B2-BA87-CE78BC0B5BAA}">
  <dimension ref="A1:P42"/>
  <sheetViews>
    <sheetView workbookViewId="0">
      <selection activeCell="F51" sqref="F51"/>
    </sheetView>
  </sheetViews>
  <sheetFormatPr defaultRowHeight="14.6" x14ac:dyDescent="0.4"/>
  <cols>
    <col min="1" max="2" width="16.765625" style="3" customWidth="1"/>
    <col min="3" max="16" width="16.765625" customWidth="1"/>
  </cols>
  <sheetData>
    <row r="1" spans="1:16" s="1" customFormat="1" ht="29.15" x14ac:dyDescent="0.4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">
      <c r="A2" s="3">
        <v>2024</v>
      </c>
      <c r="B2" s="3" t="s">
        <v>16</v>
      </c>
      <c r="C2" t="s">
        <v>16</v>
      </c>
      <c r="D2" s="7">
        <v>260.39704183666697</v>
      </c>
      <c r="E2" s="7">
        <v>0</v>
      </c>
      <c r="F2" s="7">
        <v>150.39515279241101</v>
      </c>
      <c r="G2" s="7">
        <f>D2-E2</f>
        <v>260.39704183666697</v>
      </c>
      <c r="H2" s="7">
        <v>410.79219462907901</v>
      </c>
      <c r="I2" s="7">
        <v>6.84653657715132</v>
      </c>
      <c r="J2" s="7">
        <v>0</v>
      </c>
      <c r="K2" s="7">
        <v>0</v>
      </c>
      <c r="L2">
        <v>19</v>
      </c>
      <c r="M2">
        <v>6</v>
      </c>
      <c r="N2" t="b">
        <v>1</v>
      </c>
      <c r="O2">
        <v>1</v>
      </c>
      <c r="P2">
        <v>50</v>
      </c>
    </row>
    <row r="3" spans="1:16" x14ac:dyDescent="0.4">
      <c r="A3" s="3">
        <v>2024</v>
      </c>
      <c r="B3" s="3" t="s">
        <v>17</v>
      </c>
      <c r="C3" t="s">
        <v>17</v>
      </c>
      <c r="D3" s="7">
        <v>145.258631231821</v>
      </c>
      <c r="E3" s="7">
        <v>0</v>
      </c>
      <c r="F3" s="7">
        <v>150.35419388830101</v>
      </c>
      <c r="G3" s="7">
        <f t="shared" ref="G3:G17" si="0">D3-E3</f>
        <v>145.258631231821</v>
      </c>
      <c r="H3" s="7">
        <v>295.61282512012298</v>
      </c>
      <c r="I3" s="7">
        <v>4.9268804186687198</v>
      </c>
      <c r="J3" s="7">
        <v>115.17936950895501</v>
      </c>
      <c r="K3" s="7">
        <v>0.28038353945102501</v>
      </c>
      <c r="L3">
        <v>19</v>
      </c>
      <c r="M3">
        <v>6</v>
      </c>
      <c r="N3" t="b">
        <v>1</v>
      </c>
      <c r="O3">
        <v>1</v>
      </c>
      <c r="P3">
        <v>50</v>
      </c>
    </row>
    <row r="4" spans="1:16" x14ac:dyDescent="0.4">
      <c r="A4" s="3">
        <v>2024</v>
      </c>
      <c r="B4" s="3" t="s">
        <v>18</v>
      </c>
      <c r="C4" t="s">
        <v>19</v>
      </c>
      <c r="D4" s="7">
        <v>162.58092450684799</v>
      </c>
      <c r="E4" s="7">
        <v>90.369675909379097</v>
      </c>
      <c r="F4" s="7">
        <v>203.90157534246401</v>
      </c>
      <c r="G4" s="7">
        <f t="shared" si="0"/>
        <v>72.211248597468895</v>
      </c>
      <c r="H4" s="7">
        <v>276.11282393993298</v>
      </c>
      <c r="I4" s="7">
        <v>4.6018803989988903</v>
      </c>
      <c r="J4" s="7">
        <v>134.679370689145</v>
      </c>
      <c r="K4" s="7">
        <v>0.32785279868998601</v>
      </c>
      <c r="L4">
        <v>19</v>
      </c>
      <c r="M4">
        <v>6</v>
      </c>
      <c r="N4" t="b">
        <v>1</v>
      </c>
      <c r="O4">
        <v>1</v>
      </c>
      <c r="P4">
        <v>50</v>
      </c>
    </row>
    <row r="5" spans="1:16" x14ac:dyDescent="0.4">
      <c r="A5" s="3">
        <v>2024</v>
      </c>
      <c r="B5" s="3" t="s">
        <v>20</v>
      </c>
      <c r="C5" t="s">
        <v>19</v>
      </c>
      <c r="D5" s="7">
        <v>283.82715899789099</v>
      </c>
      <c r="E5" s="7">
        <v>296.98536165753501</v>
      </c>
      <c r="F5" s="7">
        <v>326.92439936775401</v>
      </c>
      <c r="G5" s="7">
        <f t="shared" si="0"/>
        <v>-13.158202659644019</v>
      </c>
      <c r="H5" s="7">
        <v>313.76619670811101</v>
      </c>
      <c r="I5" s="7">
        <v>5.2294366118018498</v>
      </c>
      <c r="J5" s="7">
        <v>97.025997920967995</v>
      </c>
      <c r="K5" s="7">
        <v>0.23619240869115499</v>
      </c>
      <c r="L5">
        <v>19</v>
      </c>
      <c r="M5">
        <v>6</v>
      </c>
      <c r="N5" t="b">
        <v>1</v>
      </c>
      <c r="O5">
        <v>0.5</v>
      </c>
      <c r="P5">
        <v>25</v>
      </c>
    </row>
    <row r="6" spans="1:16" x14ac:dyDescent="0.4">
      <c r="A6" s="3">
        <v>2025</v>
      </c>
      <c r="B6" s="3" t="s">
        <v>16</v>
      </c>
      <c r="C6" t="s">
        <v>16</v>
      </c>
      <c r="D6" s="7">
        <v>298.17968136986002</v>
      </c>
      <c r="E6" s="7">
        <v>0</v>
      </c>
      <c r="F6" s="7">
        <v>149.99999999999801</v>
      </c>
      <c r="G6" s="7">
        <f t="shared" si="0"/>
        <v>298.17968136986002</v>
      </c>
      <c r="H6" s="7">
        <v>448.17968136985797</v>
      </c>
      <c r="I6" s="7">
        <v>7.4696613561643099</v>
      </c>
      <c r="J6" s="7">
        <v>0</v>
      </c>
      <c r="K6" s="7">
        <v>0</v>
      </c>
      <c r="L6">
        <v>19</v>
      </c>
      <c r="M6">
        <v>6</v>
      </c>
      <c r="N6" t="b">
        <v>1</v>
      </c>
      <c r="O6">
        <v>1</v>
      </c>
      <c r="P6">
        <v>50</v>
      </c>
    </row>
    <row r="7" spans="1:16" x14ac:dyDescent="0.4">
      <c r="A7" s="3">
        <v>2025</v>
      </c>
      <c r="B7" s="3" t="s">
        <v>17</v>
      </c>
      <c r="C7" t="s">
        <v>17</v>
      </c>
      <c r="D7" s="7">
        <v>179.79789847945</v>
      </c>
      <c r="E7" s="7">
        <v>0</v>
      </c>
      <c r="F7" s="7">
        <v>149.62999999999801</v>
      </c>
      <c r="G7" s="7">
        <f t="shared" si="0"/>
        <v>179.79789847945</v>
      </c>
      <c r="H7" s="7">
        <v>329.427898479448</v>
      </c>
      <c r="I7" s="7">
        <v>5.4904649746574696</v>
      </c>
      <c r="J7" s="7">
        <v>118.75178289041</v>
      </c>
      <c r="K7" s="7">
        <v>0.264964673381546</v>
      </c>
      <c r="L7">
        <v>19</v>
      </c>
      <c r="M7">
        <v>6</v>
      </c>
      <c r="N7" t="b">
        <v>1</v>
      </c>
      <c r="O7">
        <v>1</v>
      </c>
      <c r="P7">
        <v>50</v>
      </c>
    </row>
    <row r="8" spans="1:16" x14ac:dyDescent="0.4">
      <c r="A8" s="3">
        <v>2025</v>
      </c>
      <c r="B8" s="3" t="s">
        <v>18</v>
      </c>
      <c r="C8" t="s">
        <v>19</v>
      </c>
      <c r="D8" s="7">
        <v>209.33262095890299</v>
      </c>
      <c r="E8" s="7">
        <v>107.382916493151</v>
      </c>
      <c r="F8" s="7">
        <v>204.843493150683</v>
      </c>
      <c r="G8" s="7">
        <f t="shared" si="0"/>
        <v>101.94970446575199</v>
      </c>
      <c r="H8" s="7">
        <v>306.79319761643501</v>
      </c>
      <c r="I8" s="7">
        <v>5.1132199602739199</v>
      </c>
      <c r="J8" s="7">
        <v>141.38648375342299</v>
      </c>
      <c r="K8" s="7">
        <v>0.31546830351897198</v>
      </c>
      <c r="L8">
        <v>19</v>
      </c>
      <c r="M8">
        <v>6</v>
      </c>
      <c r="N8" t="b">
        <v>1</v>
      </c>
      <c r="O8">
        <v>1</v>
      </c>
      <c r="P8">
        <v>50</v>
      </c>
    </row>
    <row r="9" spans="1:16" x14ac:dyDescent="0.4">
      <c r="A9" s="3">
        <v>2025</v>
      </c>
      <c r="B9" s="3" t="s">
        <v>20</v>
      </c>
      <c r="C9" t="s">
        <v>19</v>
      </c>
      <c r="D9" s="7">
        <v>358.97604698629999</v>
      </c>
      <c r="E9" s="7">
        <v>337.49705449315098</v>
      </c>
      <c r="F9" s="7">
        <v>321.79404109588899</v>
      </c>
      <c r="G9" s="7">
        <f t="shared" si="0"/>
        <v>21.478992493149008</v>
      </c>
      <c r="H9" s="7">
        <v>343.27303358903799</v>
      </c>
      <c r="I9" s="7">
        <v>5.7212172264839696</v>
      </c>
      <c r="J9" s="7">
        <v>104.90664778081999</v>
      </c>
      <c r="K9" s="7">
        <v>0.23407274390524299</v>
      </c>
      <c r="L9">
        <v>19</v>
      </c>
      <c r="M9">
        <v>6</v>
      </c>
      <c r="N9" t="b">
        <v>1</v>
      </c>
      <c r="O9">
        <v>0.5</v>
      </c>
      <c r="P9">
        <v>25</v>
      </c>
    </row>
    <row r="10" spans="1:16" x14ac:dyDescent="0.4">
      <c r="A10" s="3">
        <v>2026</v>
      </c>
      <c r="B10" s="3" t="s">
        <v>16</v>
      </c>
      <c r="C10" t="s">
        <v>16</v>
      </c>
      <c r="D10" s="7">
        <v>172.74274089040901</v>
      </c>
      <c r="E10" s="7">
        <v>0</v>
      </c>
      <c r="F10" s="7">
        <v>73.561643835615698</v>
      </c>
      <c r="G10" s="7">
        <f t="shared" si="0"/>
        <v>172.74274089040901</v>
      </c>
      <c r="H10" s="7">
        <v>246.30438472602501</v>
      </c>
      <c r="I10" s="7">
        <v>4.1050730787670799</v>
      </c>
      <c r="J10" s="7">
        <v>0</v>
      </c>
      <c r="K10" s="7">
        <v>0</v>
      </c>
      <c r="L10">
        <v>19</v>
      </c>
      <c r="M10">
        <v>6</v>
      </c>
      <c r="N10" t="b">
        <v>1</v>
      </c>
      <c r="O10">
        <v>1</v>
      </c>
      <c r="P10">
        <v>50</v>
      </c>
    </row>
    <row r="11" spans="1:16" x14ac:dyDescent="0.4">
      <c r="A11" s="3">
        <v>2026</v>
      </c>
      <c r="B11" s="3" t="s">
        <v>17</v>
      </c>
      <c r="C11" t="s">
        <v>17</v>
      </c>
      <c r="D11" s="7">
        <v>113.28345686301201</v>
      </c>
      <c r="E11" s="7">
        <v>0</v>
      </c>
      <c r="F11" s="7">
        <v>73.972602739725204</v>
      </c>
      <c r="G11" s="7">
        <f t="shared" si="0"/>
        <v>113.28345686301201</v>
      </c>
      <c r="H11" s="7">
        <v>187.256059602737</v>
      </c>
      <c r="I11" s="7">
        <v>3.1209343267122902</v>
      </c>
      <c r="J11" s="7">
        <v>59.0483251232871</v>
      </c>
      <c r="K11" s="7">
        <v>0.239737206420296</v>
      </c>
      <c r="L11">
        <v>19</v>
      </c>
      <c r="M11">
        <v>6</v>
      </c>
      <c r="N11" t="b">
        <v>1</v>
      </c>
      <c r="O11">
        <v>1</v>
      </c>
      <c r="P11">
        <v>50</v>
      </c>
    </row>
    <row r="12" spans="1:16" x14ac:dyDescent="0.4">
      <c r="A12" s="3">
        <v>2026</v>
      </c>
      <c r="B12" s="3" t="s">
        <v>18</v>
      </c>
      <c r="C12" t="s">
        <v>19</v>
      </c>
      <c r="D12" s="7">
        <v>132.33735802739599</v>
      </c>
      <c r="E12" s="7">
        <v>54.813628041096003</v>
      </c>
      <c r="F12" s="7">
        <v>94.809931506848699</v>
      </c>
      <c r="G12" s="7">
        <f t="shared" si="0"/>
        <v>77.523729986299998</v>
      </c>
      <c r="H12" s="7">
        <v>172.33366149314901</v>
      </c>
      <c r="I12" s="7">
        <v>2.8722276915524798</v>
      </c>
      <c r="J12" s="7">
        <v>73.970723232875898</v>
      </c>
      <c r="K12" s="7">
        <v>0.300322397082604</v>
      </c>
      <c r="L12">
        <v>19</v>
      </c>
      <c r="M12">
        <v>6</v>
      </c>
      <c r="N12" t="b">
        <v>1</v>
      </c>
      <c r="O12">
        <v>1</v>
      </c>
      <c r="P12">
        <v>50</v>
      </c>
    </row>
    <row r="13" spans="1:16" x14ac:dyDescent="0.4">
      <c r="A13" s="3">
        <v>2026</v>
      </c>
      <c r="B13" s="3" t="s">
        <v>20</v>
      </c>
      <c r="C13" t="s">
        <v>19</v>
      </c>
      <c r="D13" s="7">
        <v>241.60618872602601</v>
      </c>
      <c r="E13" s="7">
        <v>208.72079260274</v>
      </c>
      <c r="F13" s="7">
        <v>161.004999999999</v>
      </c>
      <c r="G13" s="7">
        <f t="shared" si="0"/>
        <v>32.885396123286</v>
      </c>
      <c r="H13" s="7">
        <v>193.890396123285</v>
      </c>
      <c r="I13" s="7">
        <v>3.2315066020547598</v>
      </c>
      <c r="J13" s="7">
        <v>52.413988602739103</v>
      </c>
      <c r="K13" s="7">
        <v>0.21280168707122901</v>
      </c>
      <c r="L13">
        <v>19</v>
      </c>
      <c r="M13">
        <v>6</v>
      </c>
      <c r="N13" t="b">
        <v>1</v>
      </c>
      <c r="O13">
        <v>0.5</v>
      </c>
      <c r="P13">
        <v>25</v>
      </c>
    </row>
    <row r="14" spans="1:16" x14ac:dyDescent="0.4">
      <c r="A14" s="3" t="s">
        <v>15</v>
      </c>
      <c r="B14" s="3" t="s">
        <v>16</v>
      </c>
      <c r="C14" t="s">
        <v>16</v>
      </c>
      <c r="D14" s="7">
        <v>731.31946409693705</v>
      </c>
      <c r="E14" s="7">
        <v>0</v>
      </c>
      <c r="F14" s="7">
        <v>373.95679662802502</v>
      </c>
      <c r="G14" s="7">
        <f t="shared" si="0"/>
        <v>731.31946409693705</v>
      </c>
      <c r="H14" s="7">
        <v>1105.2762607249599</v>
      </c>
      <c r="I14" s="7">
        <v>18.421271012082698</v>
      </c>
      <c r="J14" s="7">
        <v>0</v>
      </c>
      <c r="K14" s="7">
        <v>0</v>
      </c>
      <c r="L14">
        <v>19</v>
      </c>
      <c r="M14">
        <v>6</v>
      </c>
      <c r="N14" t="b">
        <v>1</v>
      </c>
      <c r="O14">
        <v>1</v>
      </c>
      <c r="P14">
        <v>50</v>
      </c>
    </row>
    <row r="15" spans="1:16" x14ac:dyDescent="0.4">
      <c r="A15" s="3" t="s">
        <v>15</v>
      </c>
      <c r="B15" s="3" t="s">
        <v>17</v>
      </c>
      <c r="C15" t="s">
        <v>17</v>
      </c>
      <c r="D15" s="7">
        <v>438.33998657428401</v>
      </c>
      <c r="E15" s="7">
        <v>0</v>
      </c>
      <c r="F15" s="7">
        <v>373.95679662802502</v>
      </c>
      <c r="G15" s="7">
        <f t="shared" si="0"/>
        <v>438.33998657428401</v>
      </c>
      <c r="H15" s="7">
        <v>812.29678320231005</v>
      </c>
      <c r="I15" s="7">
        <v>13.538279720038499</v>
      </c>
      <c r="J15" s="7">
        <v>292.97947752265202</v>
      </c>
      <c r="K15" s="7">
        <v>0.26507352770834303</v>
      </c>
      <c r="L15">
        <v>19</v>
      </c>
      <c r="M15">
        <v>6</v>
      </c>
      <c r="N15" t="b">
        <v>1</v>
      </c>
      <c r="O15">
        <v>1</v>
      </c>
      <c r="P15">
        <v>50</v>
      </c>
    </row>
    <row r="16" spans="1:16" x14ac:dyDescent="0.4">
      <c r="A16" s="3" t="s">
        <v>15</v>
      </c>
      <c r="B16" s="3" t="s">
        <v>18</v>
      </c>
      <c r="C16" t="s">
        <v>19</v>
      </c>
      <c r="D16" s="7">
        <v>504.25090349314797</v>
      </c>
      <c r="E16" s="7">
        <v>252.56622044362601</v>
      </c>
      <c r="F16" s="7">
        <v>503.55499999999699</v>
      </c>
      <c r="G16" s="7">
        <f t="shared" si="0"/>
        <v>251.68468304952196</v>
      </c>
      <c r="H16" s="7">
        <v>755.23968304951802</v>
      </c>
      <c r="I16" s="7">
        <v>12.587328050825301</v>
      </c>
      <c r="J16" s="7">
        <v>350.03657767544399</v>
      </c>
      <c r="K16" s="7">
        <v>0.31669600634130202</v>
      </c>
      <c r="L16">
        <v>19</v>
      </c>
      <c r="M16">
        <v>6</v>
      </c>
      <c r="N16" t="b">
        <v>1</v>
      </c>
      <c r="O16">
        <v>1</v>
      </c>
      <c r="P16">
        <v>50</v>
      </c>
    </row>
    <row r="17" spans="1:16" x14ac:dyDescent="0.4">
      <c r="A17" s="3" t="s">
        <v>15</v>
      </c>
      <c r="B17" s="3" t="s">
        <v>20</v>
      </c>
      <c r="C17" t="s">
        <v>19</v>
      </c>
      <c r="D17" s="7">
        <v>884.40939471021795</v>
      </c>
      <c r="E17" s="7">
        <v>843.20320875342702</v>
      </c>
      <c r="F17" s="7">
        <v>809.72344046364299</v>
      </c>
      <c r="G17" s="7">
        <f t="shared" si="0"/>
        <v>41.206185956790932</v>
      </c>
      <c r="H17" s="7">
        <v>850.92962642043506</v>
      </c>
      <c r="I17" s="7">
        <v>14.1821604403405</v>
      </c>
      <c r="J17" s="7">
        <v>254.34663430452699</v>
      </c>
      <c r="K17" s="7">
        <v>0.23012041725902799</v>
      </c>
      <c r="L17">
        <v>19</v>
      </c>
      <c r="M17">
        <v>6</v>
      </c>
      <c r="N17" t="b">
        <v>1</v>
      </c>
      <c r="O17">
        <v>0.5</v>
      </c>
      <c r="P17">
        <v>25</v>
      </c>
    </row>
    <row r="20" spans="1:16" x14ac:dyDescent="0.4">
      <c r="B20" s="4">
        <v>2024</v>
      </c>
      <c r="C20" s="4">
        <v>2025</v>
      </c>
      <c r="D20" s="4">
        <v>2026</v>
      </c>
      <c r="E20" s="4" t="s">
        <v>21</v>
      </c>
    </row>
    <row r="21" spans="1:16" x14ac:dyDescent="0.4">
      <c r="A21" s="3" t="s">
        <v>16</v>
      </c>
      <c r="B21" s="5">
        <f>G2</f>
        <v>260.39704183666697</v>
      </c>
      <c r="C21" s="5">
        <f>G6</f>
        <v>298.17968136986002</v>
      </c>
      <c r="D21" s="5">
        <f>G10</f>
        <v>172.74274089040901</v>
      </c>
      <c r="E21" s="5">
        <f>G14</f>
        <v>731.31946409693705</v>
      </c>
    </row>
    <row r="22" spans="1:16" x14ac:dyDescent="0.4">
      <c r="A22" s="3" t="s">
        <v>17</v>
      </c>
      <c r="B22" s="5">
        <f t="shared" ref="B22:B24" si="1">G3</f>
        <v>145.258631231821</v>
      </c>
      <c r="C22" s="5">
        <f t="shared" ref="C22:C24" si="2">G7</f>
        <v>179.79789847945</v>
      </c>
      <c r="D22" s="5">
        <f t="shared" ref="D22:D24" si="3">G11</f>
        <v>113.28345686301201</v>
      </c>
      <c r="E22" s="5">
        <f t="shared" ref="E22:E24" si="4">G15</f>
        <v>438.33998657428401</v>
      </c>
    </row>
    <row r="23" spans="1:16" x14ac:dyDescent="0.4">
      <c r="A23" s="3" t="s">
        <v>18</v>
      </c>
      <c r="B23" s="5">
        <f t="shared" si="1"/>
        <v>72.211248597468895</v>
      </c>
      <c r="C23" s="5">
        <f t="shared" si="2"/>
        <v>101.94970446575199</v>
      </c>
      <c r="D23" s="5">
        <f t="shared" si="3"/>
        <v>77.523729986299998</v>
      </c>
      <c r="E23" s="5">
        <f t="shared" si="4"/>
        <v>251.68468304952196</v>
      </c>
    </row>
    <row r="24" spans="1:16" x14ac:dyDescent="0.4">
      <c r="A24" s="3" t="s">
        <v>20</v>
      </c>
      <c r="B24" s="5">
        <f t="shared" si="1"/>
        <v>-13.158202659644019</v>
      </c>
      <c r="C24" s="5">
        <f t="shared" si="2"/>
        <v>21.478992493149008</v>
      </c>
      <c r="D24" s="5">
        <f t="shared" si="3"/>
        <v>32.885396123286</v>
      </c>
      <c r="E24" s="5">
        <f t="shared" si="4"/>
        <v>41.206185956790932</v>
      </c>
    </row>
    <row r="25" spans="1:16" x14ac:dyDescent="0.4">
      <c r="B25" s="6"/>
      <c r="C25" s="7"/>
      <c r="D25" s="7"/>
      <c r="E25" s="7"/>
    </row>
    <row r="26" spans="1:16" x14ac:dyDescent="0.4">
      <c r="B26" s="8">
        <v>2024</v>
      </c>
      <c r="C26" s="8">
        <v>2025</v>
      </c>
      <c r="D26" s="8">
        <v>2026</v>
      </c>
      <c r="E26" s="5" t="s">
        <v>21</v>
      </c>
    </row>
    <row r="27" spans="1:16" x14ac:dyDescent="0.4">
      <c r="A27" s="3" t="s">
        <v>16</v>
      </c>
      <c r="B27" s="5">
        <f>(B21-B$21)*-1</f>
        <v>0</v>
      </c>
      <c r="C27" s="5">
        <f t="shared" ref="C27:E27" si="5">(C21-C$21)*-1</f>
        <v>0</v>
      </c>
      <c r="D27" s="5">
        <f t="shared" si="5"/>
        <v>0</v>
      </c>
      <c r="E27" s="5">
        <f t="shared" si="5"/>
        <v>0</v>
      </c>
    </row>
    <row r="28" spans="1:16" x14ac:dyDescent="0.4">
      <c r="A28" s="3" t="s">
        <v>17</v>
      </c>
      <c r="B28" s="5">
        <f t="shared" ref="B28:E30" si="6">(B22-B$21)*-1</f>
        <v>115.13841060484597</v>
      </c>
      <c r="C28" s="5">
        <f t="shared" si="6"/>
        <v>118.38178289041002</v>
      </c>
      <c r="D28" s="5">
        <f t="shared" si="6"/>
        <v>59.459284027397004</v>
      </c>
      <c r="E28" s="5">
        <f t="shared" si="6"/>
        <v>292.97947752265304</v>
      </c>
    </row>
    <row r="29" spans="1:16" x14ac:dyDescent="0.4">
      <c r="A29" s="3" t="s">
        <v>18</v>
      </c>
      <c r="B29" s="5">
        <f t="shared" si="6"/>
        <v>188.18579323919806</v>
      </c>
      <c r="C29" s="5">
        <f t="shared" si="6"/>
        <v>196.22997690410801</v>
      </c>
      <c r="D29" s="5">
        <f t="shared" si="6"/>
        <v>95.219010904109012</v>
      </c>
      <c r="E29" s="5">
        <f t="shared" si="6"/>
        <v>479.63478104741512</v>
      </c>
    </row>
    <row r="30" spans="1:16" x14ac:dyDescent="0.4">
      <c r="A30" s="3" t="s">
        <v>20</v>
      </c>
      <c r="B30" s="5">
        <f t="shared" si="6"/>
        <v>273.55524449631099</v>
      </c>
      <c r="C30" s="5">
        <f t="shared" si="6"/>
        <v>276.70068887671101</v>
      </c>
      <c r="D30" s="5">
        <f t="shared" si="6"/>
        <v>139.85734476712301</v>
      </c>
      <c r="E30" s="5">
        <f t="shared" si="6"/>
        <v>690.11327814014612</v>
      </c>
    </row>
    <row r="32" spans="1:16" x14ac:dyDescent="0.4">
      <c r="A32" s="14" t="s">
        <v>43</v>
      </c>
      <c r="B32" s="8">
        <v>2024</v>
      </c>
      <c r="C32" s="8">
        <v>2025</v>
      </c>
      <c r="D32" s="8">
        <v>2026</v>
      </c>
      <c r="E32" s="5" t="s">
        <v>21</v>
      </c>
    </row>
    <row r="33" spans="1:5" x14ac:dyDescent="0.4">
      <c r="A33" s="3" t="s">
        <v>16</v>
      </c>
      <c r="B33" s="5">
        <f>H2</f>
        <v>410.79219462907901</v>
      </c>
      <c r="C33" s="5">
        <f>H6</f>
        <v>448.17968136985797</v>
      </c>
      <c r="D33" s="5">
        <f>H10</f>
        <v>246.30438472602501</v>
      </c>
      <c r="E33" s="5">
        <f>H14</f>
        <v>1105.2762607249599</v>
      </c>
    </row>
    <row r="34" spans="1:5" x14ac:dyDescent="0.4">
      <c r="A34" s="3" t="s">
        <v>17</v>
      </c>
      <c r="B34" s="5">
        <f t="shared" ref="B34:B36" si="7">H3</f>
        <v>295.61282512012298</v>
      </c>
      <c r="C34" s="5">
        <f t="shared" ref="C34:C36" si="8">H7</f>
        <v>329.427898479448</v>
      </c>
      <c r="D34" s="5">
        <f t="shared" ref="D34:D36" si="9">H11</f>
        <v>187.256059602737</v>
      </c>
      <c r="E34" s="5">
        <f t="shared" ref="E34:E36" si="10">H15</f>
        <v>812.29678320231005</v>
      </c>
    </row>
    <row r="35" spans="1:5" x14ac:dyDescent="0.4">
      <c r="A35" s="3" t="s">
        <v>18</v>
      </c>
      <c r="B35" s="5">
        <f t="shared" si="7"/>
        <v>276.11282393993298</v>
      </c>
      <c r="C35" s="5">
        <f t="shared" si="8"/>
        <v>306.79319761643501</v>
      </c>
      <c r="D35" s="5">
        <f t="shared" si="9"/>
        <v>172.33366149314901</v>
      </c>
      <c r="E35" s="5">
        <f t="shared" si="10"/>
        <v>755.23968304951802</v>
      </c>
    </row>
    <row r="36" spans="1:5" x14ac:dyDescent="0.4">
      <c r="A36" s="3" t="s">
        <v>20</v>
      </c>
      <c r="B36" s="5">
        <f t="shared" si="7"/>
        <v>313.76619670811101</v>
      </c>
      <c r="C36" s="5">
        <f t="shared" si="8"/>
        <v>343.27303358903799</v>
      </c>
      <c r="D36" s="5">
        <f t="shared" si="9"/>
        <v>193.890396123285</v>
      </c>
      <c r="E36" s="5">
        <f t="shared" si="10"/>
        <v>850.92962642043506</v>
      </c>
    </row>
    <row r="38" spans="1:5" x14ac:dyDescent="0.4">
      <c r="A38" s="14" t="s">
        <v>43</v>
      </c>
      <c r="B38" s="8">
        <v>2024</v>
      </c>
      <c r="C38" s="8">
        <v>2025</v>
      </c>
      <c r="D38" s="8">
        <v>2026</v>
      </c>
      <c r="E38" s="5" t="s">
        <v>21</v>
      </c>
    </row>
    <row r="39" spans="1:5" x14ac:dyDescent="0.4">
      <c r="A39" s="3" t="s">
        <v>16</v>
      </c>
      <c r="B39" s="5">
        <f>(B33-B$33)*-1</f>
        <v>0</v>
      </c>
      <c r="C39" s="5">
        <f t="shared" ref="C39:E39" si="11">(C33-C$33)*-1</f>
        <v>0</v>
      </c>
      <c r="D39" s="5">
        <f t="shared" si="11"/>
        <v>0</v>
      </c>
      <c r="E39" s="5">
        <f t="shared" si="11"/>
        <v>0</v>
      </c>
    </row>
    <row r="40" spans="1:5" x14ac:dyDescent="0.4">
      <c r="A40" s="3" t="s">
        <v>17</v>
      </c>
      <c r="B40" s="5">
        <f t="shared" ref="B40:E40" si="12">(B34-B$33)*-1</f>
        <v>115.17936950895603</v>
      </c>
      <c r="C40" s="5">
        <f t="shared" si="12"/>
        <v>118.75178289040997</v>
      </c>
      <c r="D40" s="5">
        <f t="shared" si="12"/>
        <v>59.048325123288009</v>
      </c>
      <c r="E40" s="5">
        <f t="shared" si="12"/>
        <v>292.97947752264986</v>
      </c>
    </row>
    <row r="41" spans="1:5" x14ac:dyDescent="0.4">
      <c r="A41" s="3" t="s">
        <v>18</v>
      </c>
      <c r="B41" s="5">
        <f t="shared" ref="B41:E41" si="13">(B35-B$33)*-1</f>
        <v>134.67937068914603</v>
      </c>
      <c r="C41" s="5">
        <f t="shared" si="13"/>
        <v>141.38648375342297</v>
      </c>
      <c r="D41" s="5">
        <f t="shared" si="13"/>
        <v>73.970723232875997</v>
      </c>
      <c r="E41" s="5">
        <f t="shared" si="13"/>
        <v>350.03657767544189</v>
      </c>
    </row>
    <row r="42" spans="1:5" x14ac:dyDescent="0.4">
      <c r="A42" s="3" t="s">
        <v>20</v>
      </c>
      <c r="B42" s="5">
        <f t="shared" ref="B42:E42" si="14">(B36-B$33)*-1</f>
        <v>97.025997920967995</v>
      </c>
      <c r="C42" s="5">
        <f t="shared" si="14"/>
        <v>104.90664778081998</v>
      </c>
      <c r="D42" s="5">
        <f t="shared" si="14"/>
        <v>52.413988602740005</v>
      </c>
      <c r="E42" s="5">
        <f t="shared" si="14"/>
        <v>254.34663430452485</v>
      </c>
    </row>
  </sheetData>
  <autoFilter ref="A1:P1" xr:uid="{CB7B7047-5421-482E-88B4-73E1EE4EB9F6}">
    <sortState xmlns:xlrd2="http://schemas.microsoft.com/office/spreadsheetml/2017/richdata2" ref="A2:P17">
      <sortCondition ref="A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6877-5D71-48D3-AD68-D8214FEBC42A}">
  <dimension ref="A1:P42"/>
  <sheetViews>
    <sheetView workbookViewId="0">
      <selection activeCell="F51" sqref="F51"/>
    </sheetView>
  </sheetViews>
  <sheetFormatPr defaultRowHeight="14.6" x14ac:dyDescent="0.4"/>
  <cols>
    <col min="1" max="2" width="16.765625" style="3" customWidth="1"/>
    <col min="3" max="16" width="16.765625" customWidth="1"/>
  </cols>
  <sheetData>
    <row r="1" spans="1:16" s="1" customFormat="1" ht="29.15" x14ac:dyDescent="0.4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">
      <c r="A2" s="3">
        <v>2024</v>
      </c>
      <c r="B2" s="3" t="s">
        <v>16</v>
      </c>
      <c r="C2" t="s">
        <v>16</v>
      </c>
      <c r="D2" s="7">
        <v>282.18784109588802</v>
      </c>
      <c r="E2" s="7">
        <v>0</v>
      </c>
      <c r="F2" s="7">
        <v>150.393835616437</v>
      </c>
      <c r="G2" s="7">
        <f>D2-E2</f>
        <v>282.18784109588802</v>
      </c>
      <c r="H2" s="7">
        <v>432.58167671232502</v>
      </c>
      <c r="I2" s="7">
        <v>7.2096946118720897</v>
      </c>
      <c r="J2" s="7">
        <v>0</v>
      </c>
      <c r="K2" s="7">
        <v>0</v>
      </c>
      <c r="L2">
        <v>18</v>
      </c>
      <c r="M2">
        <v>6</v>
      </c>
      <c r="N2" t="b">
        <v>1</v>
      </c>
      <c r="O2">
        <v>1</v>
      </c>
      <c r="P2">
        <v>50</v>
      </c>
    </row>
    <row r="3" spans="1:16" x14ac:dyDescent="0.4">
      <c r="A3" s="3">
        <v>2024</v>
      </c>
      <c r="B3" s="3" t="s">
        <v>17</v>
      </c>
      <c r="C3" t="s">
        <v>17</v>
      </c>
      <c r="D3" s="7">
        <v>145.255309671231</v>
      </c>
      <c r="E3" s="7">
        <v>0</v>
      </c>
      <c r="F3" s="7">
        <v>150.352876712327</v>
      </c>
      <c r="G3" s="7">
        <f t="shared" ref="G3:G17" si="0">D3-E3</f>
        <v>145.255309671231</v>
      </c>
      <c r="H3" s="7">
        <v>295.60818638355897</v>
      </c>
      <c r="I3" s="7">
        <v>4.9268031063926498</v>
      </c>
      <c r="J3" s="7">
        <v>136.97349032876599</v>
      </c>
      <c r="K3" s="7">
        <v>0.31664191458542901</v>
      </c>
      <c r="L3">
        <v>18</v>
      </c>
      <c r="M3">
        <v>6</v>
      </c>
      <c r="N3" t="b">
        <v>1</v>
      </c>
      <c r="O3">
        <v>1</v>
      </c>
      <c r="P3">
        <v>50</v>
      </c>
    </row>
    <row r="4" spans="1:16" x14ac:dyDescent="0.4">
      <c r="A4" s="3">
        <v>2024</v>
      </c>
      <c r="B4" s="3" t="s">
        <v>18</v>
      </c>
      <c r="C4" t="s">
        <v>19</v>
      </c>
      <c r="D4" s="7">
        <v>180.23245410958799</v>
      </c>
      <c r="E4" s="7">
        <v>146.99467335616399</v>
      </c>
      <c r="F4" s="7">
        <v>229.211438356163</v>
      </c>
      <c r="G4" s="7">
        <f t="shared" si="0"/>
        <v>33.237780753424005</v>
      </c>
      <c r="H4" s="7">
        <v>262.44921910958601</v>
      </c>
      <c r="I4" s="7">
        <v>4.3741536518264397</v>
      </c>
      <c r="J4" s="7">
        <v>170.13245760273799</v>
      </c>
      <c r="K4" s="7">
        <v>0.39329557112951802</v>
      </c>
      <c r="L4">
        <v>18</v>
      </c>
      <c r="M4">
        <v>6</v>
      </c>
      <c r="N4" t="b">
        <v>1</v>
      </c>
      <c r="O4">
        <v>1</v>
      </c>
      <c r="P4">
        <v>50</v>
      </c>
    </row>
    <row r="5" spans="1:16" x14ac:dyDescent="0.4">
      <c r="A5" s="3">
        <v>2024</v>
      </c>
      <c r="B5" s="3" t="s">
        <v>20</v>
      </c>
      <c r="C5" t="s">
        <v>19</v>
      </c>
      <c r="D5" s="7">
        <v>360.43147339725903</v>
      </c>
      <c r="E5" s="7">
        <v>434.78942205479501</v>
      </c>
      <c r="F5" s="7">
        <v>388.22157534246497</v>
      </c>
      <c r="G5" s="7">
        <f t="shared" si="0"/>
        <v>-74.357948657535985</v>
      </c>
      <c r="H5" s="7">
        <v>313.86362668492899</v>
      </c>
      <c r="I5" s="7">
        <v>5.2310604447488096</v>
      </c>
      <c r="J5" s="7">
        <v>118.718050027396</v>
      </c>
      <c r="K5" s="7">
        <v>0.274440773658441</v>
      </c>
      <c r="L5">
        <v>18</v>
      </c>
      <c r="M5">
        <v>6</v>
      </c>
      <c r="N5" t="b">
        <v>1</v>
      </c>
      <c r="O5">
        <v>0.5</v>
      </c>
      <c r="P5">
        <v>25</v>
      </c>
    </row>
    <row r="6" spans="1:16" x14ac:dyDescent="0.4">
      <c r="A6" s="3">
        <v>2025</v>
      </c>
      <c r="B6" s="3" t="s">
        <v>16</v>
      </c>
      <c r="C6" t="s">
        <v>16</v>
      </c>
      <c r="D6" s="7">
        <v>326.20435261643502</v>
      </c>
      <c r="E6" s="7">
        <v>0</v>
      </c>
      <c r="F6" s="7">
        <v>149.99999999999801</v>
      </c>
      <c r="G6" s="7">
        <f t="shared" si="0"/>
        <v>326.20435261643502</v>
      </c>
      <c r="H6" s="7">
        <v>476.20435261643399</v>
      </c>
      <c r="I6" s="7">
        <v>7.9367392102739096</v>
      </c>
      <c r="J6" s="7">
        <v>0</v>
      </c>
      <c r="K6" s="7">
        <v>0</v>
      </c>
      <c r="L6">
        <v>18</v>
      </c>
      <c r="M6">
        <v>6</v>
      </c>
      <c r="N6" t="b">
        <v>1</v>
      </c>
      <c r="O6">
        <v>1</v>
      </c>
      <c r="P6">
        <v>50</v>
      </c>
    </row>
    <row r="7" spans="1:16" x14ac:dyDescent="0.4">
      <c r="A7" s="3">
        <v>2025</v>
      </c>
      <c r="B7" s="3" t="s">
        <v>17</v>
      </c>
      <c r="C7" t="s">
        <v>17</v>
      </c>
      <c r="D7" s="7">
        <v>179.700022191779</v>
      </c>
      <c r="E7" s="7">
        <v>0</v>
      </c>
      <c r="F7" s="7">
        <v>149.62999999999801</v>
      </c>
      <c r="G7" s="7">
        <f t="shared" si="0"/>
        <v>179.700022191779</v>
      </c>
      <c r="H7" s="7">
        <v>329.33002219177803</v>
      </c>
      <c r="I7" s="7">
        <v>5.4888337031962999</v>
      </c>
      <c r="J7" s="7">
        <v>146.87433042465599</v>
      </c>
      <c r="K7" s="7">
        <v>0.30842710617338298</v>
      </c>
      <c r="L7">
        <v>18</v>
      </c>
      <c r="M7">
        <v>6</v>
      </c>
      <c r="N7" t="b">
        <v>1</v>
      </c>
      <c r="O7">
        <v>1</v>
      </c>
      <c r="P7">
        <v>50</v>
      </c>
    </row>
    <row r="8" spans="1:16" x14ac:dyDescent="0.4">
      <c r="A8" s="3">
        <v>2025</v>
      </c>
      <c r="B8" s="3" t="s">
        <v>18</v>
      </c>
      <c r="C8" t="s">
        <v>19</v>
      </c>
      <c r="D8" s="7">
        <v>237.38000828766999</v>
      </c>
      <c r="E8" s="7">
        <v>184.255309479452</v>
      </c>
      <c r="F8" s="7">
        <v>232.62623287671099</v>
      </c>
      <c r="G8" s="7">
        <f t="shared" si="0"/>
        <v>53.124698808218</v>
      </c>
      <c r="H8" s="7">
        <v>285.75093168492901</v>
      </c>
      <c r="I8" s="7">
        <v>4.7625155280821501</v>
      </c>
      <c r="J8" s="7">
        <v>190.45342093150501</v>
      </c>
      <c r="K8" s="7">
        <v>0.399940529491356</v>
      </c>
      <c r="L8">
        <v>18</v>
      </c>
      <c r="M8">
        <v>6</v>
      </c>
      <c r="N8" t="b">
        <v>1</v>
      </c>
      <c r="O8">
        <v>1</v>
      </c>
      <c r="P8">
        <v>50</v>
      </c>
    </row>
    <row r="9" spans="1:16" x14ac:dyDescent="0.4">
      <c r="A9" s="3">
        <v>2025</v>
      </c>
      <c r="B9" s="3" t="s">
        <v>20</v>
      </c>
      <c r="C9" t="s">
        <v>19</v>
      </c>
      <c r="D9" s="7">
        <v>459.08586756164198</v>
      </c>
      <c r="E9" s="7">
        <v>513.89691575342499</v>
      </c>
      <c r="F9" s="7">
        <v>388.879178082191</v>
      </c>
      <c r="G9" s="7">
        <f t="shared" si="0"/>
        <v>-54.811048191783016</v>
      </c>
      <c r="H9" s="7">
        <v>334.06812989040799</v>
      </c>
      <c r="I9" s="7">
        <v>5.5678021648401401</v>
      </c>
      <c r="J9" s="7">
        <v>142.13622272602601</v>
      </c>
      <c r="K9" s="7">
        <v>0.29847736994649299</v>
      </c>
      <c r="L9">
        <v>18</v>
      </c>
      <c r="M9">
        <v>6</v>
      </c>
      <c r="N9" t="b">
        <v>1</v>
      </c>
      <c r="O9">
        <v>0.5</v>
      </c>
      <c r="P9">
        <v>25</v>
      </c>
    </row>
    <row r="10" spans="1:16" x14ac:dyDescent="0.4">
      <c r="A10" s="3">
        <v>2026</v>
      </c>
      <c r="B10" s="3" t="s">
        <v>16</v>
      </c>
      <c r="C10" t="s">
        <v>16</v>
      </c>
      <c r="D10" s="7">
        <v>179.33981273972401</v>
      </c>
      <c r="E10" s="7">
        <v>0</v>
      </c>
      <c r="F10" s="7">
        <v>73.561643835615797</v>
      </c>
      <c r="G10" s="7">
        <f t="shared" si="0"/>
        <v>179.33981273972401</v>
      </c>
      <c r="H10" s="7">
        <v>252.90145657534001</v>
      </c>
      <c r="I10" s="7">
        <v>4.2150242762556704</v>
      </c>
      <c r="J10" s="7">
        <v>0</v>
      </c>
      <c r="K10" s="7">
        <v>0</v>
      </c>
      <c r="L10">
        <v>18</v>
      </c>
      <c r="M10">
        <v>6</v>
      </c>
      <c r="N10" t="b">
        <v>1</v>
      </c>
      <c r="O10">
        <v>1</v>
      </c>
      <c r="P10">
        <v>50</v>
      </c>
    </row>
    <row r="11" spans="1:16" x14ac:dyDescent="0.4">
      <c r="A11" s="3">
        <v>2026</v>
      </c>
      <c r="B11" s="3" t="s">
        <v>17</v>
      </c>
      <c r="C11" t="s">
        <v>17</v>
      </c>
      <c r="D11" s="7">
        <v>113.108112273971</v>
      </c>
      <c r="E11" s="7">
        <v>0</v>
      </c>
      <c r="F11" s="7">
        <v>73.972602739725403</v>
      </c>
      <c r="G11" s="7">
        <f t="shared" si="0"/>
        <v>113.108112273971</v>
      </c>
      <c r="H11" s="7">
        <v>187.08071501369699</v>
      </c>
      <c r="I11" s="7">
        <v>3.1180119168949498</v>
      </c>
      <c r="J11" s="7">
        <v>65.820741561643302</v>
      </c>
      <c r="K11" s="7">
        <v>0.26026240597010902</v>
      </c>
      <c r="L11">
        <v>18</v>
      </c>
      <c r="M11">
        <v>6</v>
      </c>
      <c r="N11" t="b">
        <v>1</v>
      </c>
      <c r="O11">
        <v>1</v>
      </c>
      <c r="P11">
        <v>50</v>
      </c>
    </row>
    <row r="12" spans="1:16" x14ac:dyDescent="0.4">
      <c r="A12" s="3">
        <v>2026</v>
      </c>
      <c r="B12" s="3" t="s">
        <v>18</v>
      </c>
      <c r="C12" t="s">
        <v>19</v>
      </c>
      <c r="D12" s="7">
        <v>147.004798767122</v>
      </c>
      <c r="E12" s="7">
        <v>87.697255424657698</v>
      </c>
      <c r="F12" s="7">
        <v>106.027260273972</v>
      </c>
      <c r="G12" s="7">
        <f t="shared" si="0"/>
        <v>59.307543342464299</v>
      </c>
      <c r="H12" s="7">
        <v>165.334803616437</v>
      </c>
      <c r="I12" s="7">
        <v>2.75558006027395</v>
      </c>
      <c r="J12" s="7">
        <v>87.566652958903404</v>
      </c>
      <c r="K12" s="7">
        <v>0.34624811634019498</v>
      </c>
      <c r="L12">
        <v>18</v>
      </c>
      <c r="M12">
        <v>6</v>
      </c>
      <c r="N12" t="b">
        <v>1</v>
      </c>
      <c r="O12">
        <v>1</v>
      </c>
      <c r="P12">
        <v>50</v>
      </c>
    </row>
    <row r="13" spans="1:16" x14ac:dyDescent="0.4">
      <c r="A13" s="3">
        <v>2026</v>
      </c>
      <c r="B13" s="3" t="s">
        <v>20</v>
      </c>
      <c r="C13" t="s">
        <v>19</v>
      </c>
      <c r="D13" s="7">
        <v>296.908018616437</v>
      </c>
      <c r="E13" s="7">
        <v>295.67435182191798</v>
      </c>
      <c r="F13" s="7">
        <v>191.88198630136901</v>
      </c>
      <c r="G13" s="7">
        <f t="shared" si="0"/>
        <v>1.2336667945190243</v>
      </c>
      <c r="H13" s="7">
        <v>193.115653095889</v>
      </c>
      <c r="I13" s="7">
        <v>3.2185942182648102</v>
      </c>
      <c r="J13" s="7">
        <v>59.785803479451403</v>
      </c>
      <c r="K13" s="7">
        <v>0.23639960120846901</v>
      </c>
      <c r="L13">
        <v>18</v>
      </c>
      <c r="M13">
        <v>6</v>
      </c>
      <c r="N13" t="b">
        <v>1</v>
      </c>
      <c r="O13">
        <v>0.5</v>
      </c>
      <c r="P13">
        <v>25</v>
      </c>
    </row>
    <row r="14" spans="1:16" x14ac:dyDescent="0.4">
      <c r="A14" s="3" t="s">
        <v>15</v>
      </c>
      <c r="B14" s="3" t="s">
        <v>16</v>
      </c>
      <c r="C14" t="s">
        <v>16</v>
      </c>
      <c r="D14" s="7">
        <v>787.73200645204804</v>
      </c>
      <c r="E14" s="7">
        <v>0</v>
      </c>
      <c r="F14" s="7">
        <v>373.95547945205101</v>
      </c>
      <c r="G14" s="7">
        <f t="shared" si="0"/>
        <v>787.73200645204804</v>
      </c>
      <c r="H14" s="7">
        <v>1161.6874859041</v>
      </c>
      <c r="I14" s="7">
        <v>19.361458098401599</v>
      </c>
      <c r="J14" s="7">
        <v>0</v>
      </c>
      <c r="K14" s="7">
        <v>0</v>
      </c>
      <c r="L14">
        <v>18</v>
      </c>
      <c r="M14">
        <v>6</v>
      </c>
      <c r="N14" t="b">
        <v>1</v>
      </c>
      <c r="O14">
        <v>1</v>
      </c>
      <c r="P14">
        <v>50</v>
      </c>
    </row>
    <row r="15" spans="1:16" x14ac:dyDescent="0.4">
      <c r="A15" s="3" t="s">
        <v>15</v>
      </c>
      <c r="B15" s="3" t="s">
        <v>17</v>
      </c>
      <c r="C15" t="s">
        <v>17</v>
      </c>
      <c r="D15" s="7">
        <v>438.06344413698201</v>
      </c>
      <c r="E15" s="7">
        <v>0</v>
      </c>
      <c r="F15" s="7">
        <v>373.95547945205101</v>
      </c>
      <c r="G15" s="7">
        <f t="shared" si="0"/>
        <v>438.06344413698201</v>
      </c>
      <c r="H15" s="7">
        <v>812.01892358903399</v>
      </c>
      <c r="I15" s="7">
        <v>13.5336487264839</v>
      </c>
      <c r="J15" s="7">
        <v>349.668562315065</v>
      </c>
      <c r="K15" s="7">
        <v>0.30100054150357902</v>
      </c>
      <c r="L15">
        <v>18</v>
      </c>
      <c r="M15">
        <v>6</v>
      </c>
      <c r="N15" t="b">
        <v>1</v>
      </c>
      <c r="O15">
        <v>1</v>
      </c>
      <c r="P15">
        <v>50</v>
      </c>
    </row>
    <row r="16" spans="1:16" x14ac:dyDescent="0.4">
      <c r="A16" s="3" t="s">
        <v>15</v>
      </c>
      <c r="B16" s="3" t="s">
        <v>18</v>
      </c>
      <c r="C16" t="s">
        <v>19</v>
      </c>
      <c r="D16" s="7">
        <v>564.61726116438103</v>
      </c>
      <c r="E16" s="7">
        <v>418.94723826027501</v>
      </c>
      <c r="F16" s="7">
        <v>567.86493150684601</v>
      </c>
      <c r="G16" s="7">
        <f t="shared" si="0"/>
        <v>145.67002290410602</v>
      </c>
      <c r="H16" s="7">
        <v>713.53495441095197</v>
      </c>
      <c r="I16" s="7">
        <v>11.892249240182499</v>
      </c>
      <c r="J16" s="7">
        <v>448.15253149314702</v>
      </c>
      <c r="K16" s="7">
        <v>0.38577718786767001</v>
      </c>
      <c r="L16">
        <v>18</v>
      </c>
      <c r="M16">
        <v>6</v>
      </c>
      <c r="N16" t="b">
        <v>1</v>
      </c>
      <c r="O16">
        <v>1</v>
      </c>
      <c r="P16">
        <v>50</v>
      </c>
    </row>
    <row r="17" spans="1:16" x14ac:dyDescent="0.4">
      <c r="A17" s="3" t="s">
        <v>15</v>
      </c>
      <c r="B17" s="3" t="s">
        <v>20</v>
      </c>
      <c r="C17" t="s">
        <v>19</v>
      </c>
      <c r="D17" s="7">
        <v>1116.4253595753401</v>
      </c>
      <c r="E17" s="7">
        <v>1244.3606896301301</v>
      </c>
      <c r="F17" s="7">
        <v>968.98273972602499</v>
      </c>
      <c r="G17" s="7">
        <f t="shared" si="0"/>
        <v>-127.93533005479003</v>
      </c>
      <c r="H17" s="7">
        <v>841.04740967122598</v>
      </c>
      <c r="I17" s="7">
        <v>14.0174568278537</v>
      </c>
      <c r="J17" s="7">
        <v>320.64007623287301</v>
      </c>
      <c r="K17" s="7">
        <v>0.27601233560963301</v>
      </c>
      <c r="L17">
        <v>18</v>
      </c>
      <c r="M17">
        <v>6</v>
      </c>
      <c r="N17" t="b">
        <v>1</v>
      </c>
      <c r="O17">
        <v>0.5</v>
      </c>
      <c r="P17">
        <v>25</v>
      </c>
    </row>
    <row r="20" spans="1:16" x14ac:dyDescent="0.4">
      <c r="B20" s="4">
        <v>2024</v>
      </c>
      <c r="C20" s="4">
        <v>2025</v>
      </c>
      <c r="D20" s="4">
        <v>2026</v>
      </c>
      <c r="E20" s="4" t="s">
        <v>21</v>
      </c>
    </row>
    <row r="21" spans="1:16" x14ac:dyDescent="0.4">
      <c r="A21" s="3" t="s">
        <v>16</v>
      </c>
      <c r="B21" s="5">
        <f>G2</f>
        <v>282.18784109588802</v>
      </c>
      <c r="C21" s="5">
        <f>G6</f>
        <v>326.20435261643502</v>
      </c>
      <c r="D21" s="5">
        <f>G10</f>
        <v>179.33981273972401</v>
      </c>
      <c r="E21" s="5">
        <f>G14</f>
        <v>787.73200645204804</v>
      </c>
    </row>
    <row r="22" spans="1:16" x14ac:dyDescent="0.4">
      <c r="A22" s="3" t="s">
        <v>17</v>
      </c>
      <c r="B22" s="5">
        <f t="shared" ref="B22:B24" si="1">G3</f>
        <v>145.255309671231</v>
      </c>
      <c r="C22" s="5">
        <f t="shared" ref="C22:C24" si="2">G7</f>
        <v>179.700022191779</v>
      </c>
      <c r="D22" s="5">
        <f t="shared" ref="D22:D24" si="3">G11</f>
        <v>113.108112273971</v>
      </c>
      <c r="E22" s="5">
        <f t="shared" ref="E22:E24" si="4">G15</f>
        <v>438.06344413698201</v>
      </c>
    </row>
    <row r="23" spans="1:16" x14ac:dyDescent="0.4">
      <c r="A23" s="3" t="s">
        <v>18</v>
      </c>
      <c r="B23" s="5">
        <f t="shared" si="1"/>
        <v>33.237780753424005</v>
      </c>
      <c r="C23" s="5">
        <f t="shared" si="2"/>
        <v>53.124698808218</v>
      </c>
      <c r="D23" s="5">
        <f t="shared" si="3"/>
        <v>59.307543342464299</v>
      </c>
      <c r="E23" s="5">
        <f t="shared" si="4"/>
        <v>145.67002290410602</v>
      </c>
    </row>
    <row r="24" spans="1:16" x14ac:dyDescent="0.4">
      <c r="A24" s="3" t="s">
        <v>20</v>
      </c>
      <c r="B24" s="5">
        <f t="shared" si="1"/>
        <v>-74.357948657535985</v>
      </c>
      <c r="C24" s="5">
        <f t="shared" si="2"/>
        <v>-54.811048191783016</v>
      </c>
      <c r="D24" s="5">
        <f t="shared" si="3"/>
        <v>1.2336667945190243</v>
      </c>
      <c r="E24" s="5">
        <f t="shared" si="4"/>
        <v>-127.93533005479003</v>
      </c>
    </row>
    <row r="25" spans="1:16" x14ac:dyDescent="0.4">
      <c r="B25" s="6"/>
      <c r="C25" s="7"/>
      <c r="D25" s="7"/>
      <c r="E25" s="7"/>
    </row>
    <row r="26" spans="1:16" x14ac:dyDescent="0.4">
      <c r="B26" s="8">
        <v>2024</v>
      </c>
      <c r="C26" s="8">
        <v>2025</v>
      </c>
      <c r="D26" s="8">
        <v>2026</v>
      </c>
      <c r="E26" s="5" t="s">
        <v>21</v>
      </c>
    </row>
    <row r="27" spans="1:16" x14ac:dyDescent="0.4">
      <c r="A27" s="3" t="s">
        <v>16</v>
      </c>
      <c r="B27" s="5">
        <f>(B21-B$21)*-1</f>
        <v>0</v>
      </c>
      <c r="C27" s="5">
        <f t="shared" ref="C27:E27" si="5">(C21-C$21)*-1</f>
        <v>0</v>
      </c>
      <c r="D27" s="5">
        <f t="shared" si="5"/>
        <v>0</v>
      </c>
      <c r="E27" s="5">
        <f t="shared" si="5"/>
        <v>0</v>
      </c>
    </row>
    <row r="28" spans="1:16" x14ac:dyDescent="0.4">
      <c r="A28" s="3" t="s">
        <v>17</v>
      </c>
      <c r="B28" s="5">
        <f t="shared" ref="B28:E30" si="6">(B22-B$21)*-1</f>
        <v>136.93253142465701</v>
      </c>
      <c r="C28" s="5">
        <f t="shared" si="6"/>
        <v>146.50433042465602</v>
      </c>
      <c r="D28" s="5">
        <f t="shared" si="6"/>
        <v>66.231700465753008</v>
      </c>
      <c r="E28" s="5">
        <f t="shared" si="6"/>
        <v>349.66856231506603</v>
      </c>
    </row>
    <row r="29" spans="1:16" x14ac:dyDescent="0.4">
      <c r="A29" s="3" t="s">
        <v>18</v>
      </c>
      <c r="B29" s="5">
        <f t="shared" si="6"/>
        <v>248.95006034246401</v>
      </c>
      <c r="C29" s="5">
        <f t="shared" si="6"/>
        <v>273.07965380821702</v>
      </c>
      <c r="D29" s="5">
        <f t="shared" si="6"/>
        <v>120.03226939725971</v>
      </c>
      <c r="E29" s="5">
        <f t="shared" si="6"/>
        <v>642.06198354794196</v>
      </c>
    </row>
    <row r="30" spans="1:16" x14ac:dyDescent="0.4">
      <c r="A30" s="3" t="s">
        <v>20</v>
      </c>
      <c r="B30" s="5">
        <f t="shared" si="6"/>
        <v>356.545789753424</v>
      </c>
      <c r="C30" s="5">
        <f t="shared" si="6"/>
        <v>381.01540080821803</v>
      </c>
      <c r="D30" s="5">
        <f t="shared" si="6"/>
        <v>178.10614594520499</v>
      </c>
      <c r="E30" s="5">
        <f t="shared" si="6"/>
        <v>915.66733650683807</v>
      </c>
    </row>
    <row r="32" spans="1:16" x14ac:dyDescent="0.4">
      <c r="A32" s="14" t="s">
        <v>43</v>
      </c>
      <c r="B32" s="8">
        <v>2024</v>
      </c>
      <c r="C32" s="8">
        <v>2025</v>
      </c>
      <c r="D32" s="8">
        <v>2026</v>
      </c>
      <c r="E32" s="5" t="s">
        <v>21</v>
      </c>
    </row>
    <row r="33" spans="1:5" x14ac:dyDescent="0.4">
      <c r="A33" s="3" t="s">
        <v>16</v>
      </c>
      <c r="B33" s="5">
        <f>H2</f>
        <v>432.58167671232502</v>
      </c>
      <c r="C33" s="5">
        <f>H6</f>
        <v>476.20435261643399</v>
      </c>
      <c r="D33" s="5">
        <f>H10</f>
        <v>252.90145657534001</v>
      </c>
      <c r="E33" s="5">
        <f>H14</f>
        <v>1161.6874859041</v>
      </c>
    </row>
    <row r="34" spans="1:5" x14ac:dyDescent="0.4">
      <c r="A34" s="3" t="s">
        <v>17</v>
      </c>
      <c r="B34" s="5">
        <f t="shared" ref="B34:B36" si="7">H3</f>
        <v>295.60818638355897</v>
      </c>
      <c r="C34" s="5">
        <f t="shared" ref="C34:C36" si="8">H7</f>
        <v>329.33002219177803</v>
      </c>
      <c r="D34" s="5">
        <f t="shared" ref="D34:D36" si="9">H11</f>
        <v>187.08071501369699</v>
      </c>
      <c r="E34" s="5">
        <f t="shared" ref="E34:E36" si="10">H15</f>
        <v>812.01892358903399</v>
      </c>
    </row>
    <row r="35" spans="1:5" x14ac:dyDescent="0.4">
      <c r="A35" s="3" t="s">
        <v>18</v>
      </c>
      <c r="B35" s="5">
        <f t="shared" si="7"/>
        <v>262.44921910958601</v>
      </c>
      <c r="C35" s="5">
        <f t="shared" si="8"/>
        <v>285.75093168492901</v>
      </c>
      <c r="D35" s="5">
        <f t="shared" si="9"/>
        <v>165.334803616437</v>
      </c>
      <c r="E35" s="5">
        <f t="shared" si="10"/>
        <v>713.53495441095197</v>
      </c>
    </row>
    <row r="36" spans="1:5" x14ac:dyDescent="0.4">
      <c r="A36" s="3" t="s">
        <v>20</v>
      </c>
      <c r="B36" s="5">
        <f t="shared" si="7"/>
        <v>313.86362668492899</v>
      </c>
      <c r="C36" s="5">
        <f t="shared" si="8"/>
        <v>334.06812989040799</v>
      </c>
      <c r="D36" s="5">
        <f t="shared" si="9"/>
        <v>193.115653095889</v>
      </c>
      <c r="E36" s="5">
        <f t="shared" si="10"/>
        <v>841.04740967122598</v>
      </c>
    </row>
    <row r="38" spans="1:5" x14ac:dyDescent="0.4">
      <c r="A38" s="14" t="s">
        <v>43</v>
      </c>
      <c r="B38" s="8">
        <v>2024</v>
      </c>
      <c r="C38" s="8">
        <v>2025</v>
      </c>
      <c r="D38" s="8">
        <v>2026</v>
      </c>
      <c r="E38" s="5" t="s">
        <v>21</v>
      </c>
    </row>
    <row r="39" spans="1:5" x14ac:dyDescent="0.4">
      <c r="A39" s="3" t="s">
        <v>16</v>
      </c>
      <c r="B39" s="5">
        <f>(B33-B$33)*-1</f>
        <v>0</v>
      </c>
      <c r="C39" s="5">
        <f t="shared" ref="C39:E39" si="11">(C33-C$33)*-1</f>
        <v>0</v>
      </c>
      <c r="D39" s="5">
        <f t="shared" si="11"/>
        <v>0</v>
      </c>
      <c r="E39" s="5">
        <f t="shared" si="11"/>
        <v>0</v>
      </c>
    </row>
    <row r="40" spans="1:5" x14ac:dyDescent="0.4">
      <c r="A40" s="3" t="s">
        <v>17</v>
      </c>
      <c r="B40" s="5">
        <f t="shared" ref="B40:E40" si="12">(B34-B$33)*-1</f>
        <v>136.97349032876605</v>
      </c>
      <c r="C40" s="5">
        <f t="shared" si="12"/>
        <v>146.87433042465597</v>
      </c>
      <c r="D40" s="5">
        <f t="shared" si="12"/>
        <v>65.820741561643018</v>
      </c>
      <c r="E40" s="5">
        <f t="shared" si="12"/>
        <v>349.66856231506597</v>
      </c>
    </row>
    <row r="41" spans="1:5" x14ac:dyDescent="0.4">
      <c r="A41" s="3" t="s">
        <v>18</v>
      </c>
      <c r="B41" s="5">
        <f t="shared" ref="B41:E41" si="13">(B35-B$33)*-1</f>
        <v>170.13245760273901</v>
      </c>
      <c r="C41" s="5">
        <f t="shared" si="13"/>
        <v>190.45342093150498</v>
      </c>
      <c r="D41" s="5">
        <f t="shared" si="13"/>
        <v>87.566652958903006</v>
      </c>
      <c r="E41" s="5">
        <f t="shared" si="13"/>
        <v>448.15253149314799</v>
      </c>
    </row>
    <row r="42" spans="1:5" x14ac:dyDescent="0.4">
      <c r="A42" s="3" t="s">
        <v>20</v>
      </c>
      <c r="B42" s="5">
        <f t="shared" ref="B42:E42" si="14">(B36-B$33)*-1</f>
        <v>118.71805002739603</v>
      </c>
      <c r="C42" s="5">
        <f t="shared" si="14"/>
        <v>142.13622272602601</v>
      </c>
      <c r="D42" s="5">
        <f t="shared" si="14"/>
        <v>59.785803479451005</v>
      </c>
      <c r="E42" s="5">
        <f t="shared" si="14"/>
        <v>320.64007623287398</v>
      </c>
    </row>
  </sheetData>
  <autoFilter ref="A1:P1" xr:uid="{CB7B7047-5421-482E-88B4-73E1EE4EB9F6}">
    <sortState xmlns:xlrd2="http://schemas.microsoft.com/office/spreadsheetml/2017/richdata2" ref="A2:P17">
      <sortCondition ref="A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24-26, 20-6</vt:lpstr>
      <vt:lpstr>24-26, 19-6</vt:lpstr>
      <vt:lpstr>24-26, 18-6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Roseberg</dc:creator>
  <cp:lastModifiedBy>Harold Roseberg</cp:lastModifiedBy>
  <dcterms:created xsi:type="dcterms:W3CDTF">2026-06-30T08:29:04Z</dcterms:created>
  <dcterms:modified xsi:type="dcterms:W3CDTF">2026-06-30T10:56:44Z</dcterms:modified>
</cp:coreProperties>
</file>